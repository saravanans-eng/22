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20" yWindow="90" windowWidth="18180" windowHeight="7090"/>
  </bookViews>
  <sheets>
    <sheet name="Sheet1" sheetId="2" r:id="rId1"/>
    <sheet name="productivity_detailed_report_20" sheetId="1" r:id="rId2"/>
  </sheets>
  <definedNames>
    <definedName name="_xlnm._FilterDatabase" localSheetId="1" hidden="1">productivity_detailed_report_20!$A$1:$AI$291</definedName>
    <definedName name="_xlnm._FilterDatabase" localSheetId="0" hidden="1">Sheet1!$F$4:$I$30</definedName>
  </definedNames>
  <calcPr calcId="0"/>
  <pivotCaches>
    <pivotCache cacheId="3" r:id="rId3"/>
  </pivotCaches>
</workbook>
</file>

<file path=xl/calcChain.xml><?xml version="1.0" encoding="utf-8"?>
<calcChain xmlns="http://schemas.openxmlformats.org/spreadsheetml/2006/main">
  <c r="F29" i="2"/>
  <c r="H29" s="1"/>
  <c r="F28"/>
  <c r="H28" s="1"/>
  <c r="F27"/>
  <c r="H27" s="1"/>
  <c r="F26"/>
  <c r="H26" s="1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H5" s="1"/>
  <c r="V288" i="1"/>
  <c r="V274"/>
  <c r="V266"/>
  <c r="V213"/>
  <c r="V212"/>
  <c r="V211"/>
  <c r="V158"/>
  <c r="V157"/>
  <c r="V156"/>
  <c r="H10" i="2" l="1"/>
  <c r="H18"/>
  <c r="H9"/>
  <c r="H17"/>
  <c r="H8"/>
  <c r="H12"/>
  <c r="H16"/>
  <c r="H20"/>
  <c r="H24"/>
  <c r="H6"/>
  <c r="H14"/>
  <c r="H22"/>
  <c r="H13"/>
  <c r="H21"/>
  <c r="H25"/>
  <c r="H7"/>
  <c r="H11"/>
  <c r="H15"/>
  <c r="H19"/>
  <c r="H23"/>
</calcChain>
</file>

<file path=xl/sharedStrings.xml><?xml version="1.0" encoding="utf-8"?>
<sst xmlns="http://schemas.openxmlformats.org/spreadsheetml/2006/main" count="5751" uniqueCount="307">
  <si>
    <t>UID</t>
  </si>
  <si>
    <t>Name</t>
  </si>
  <si>
    <t>reporting_manager_ID</t>
  </si>
  <si>
    <t>reporting_manager_name</t>
  </si>
  <si>
    <t>nimble_manager_ID</t>
  </si>
  <si>
    <t>nimble_manager_name</t>
  </si>
  <si>
    <t>shift_date</t>
  </si>
  <si>
    <t>teamgroup</t>
  </si>
  <si>
    <t>department</t>
  </si>
  <si>
    <t>Team</t>
  </si>
  <si>
    <t>Jid / Author</t>
  </si>
  <si>
    <t>Article Id / ISBN</t>
  </si>
  <si>
    <t>Vol / CH</t>
  </si>
  <si>
    <t>issue</t>
  </si>
  <si>
    <t>supplement</t>
  </si>
  <si>
    <t>Stage</t>
  </si>
  <si>
    <t>Process</t>
  </si>
  <si>
    <t>taskstatus</t>
  </si>
  <si>
    <t>category</t>
  </si>
  <si>
    <t>starttime</t>
  </si>
  <si>
    <t>endtime</t>
  </si>
  <si>
    <t>totaltime</t>
  </si>
  <si>
    <t>unit</t>
  </si>
  <si>
    <t>actual</t>
  </si>
  <si>
    <t>target</t>
  </si>
  <si>
    <t>efficitiveHours</t>
  </si>
  <si>
    <t>efficitiveHoursDigits</t>
  </si>
  <si>
    <t>location</t>
  </si>
  <si>
    <t>totalefficitiveHours</t>
  </si>
  <si>
    <t>Customer</t>
  </si>
  <si>
    <t>Type</t>
  </si>
  <si>
    <t>shift_description</t>
  </si>
  <si>
    <t>Shift</t>
  </si>
  <si>
    <t>non_productivity_hours</t>
  </si>
  <si>
    <t>Skill Level</t>
  </si>
  <si>
    <t>-</t>
  </si>
  <si>
    <t>Completed</t>
  </si>
  <si>
    <t>Edits</t>
  </si>
  <si>
    <t>journals</t>
  </si>
  <si>
    <t>FIRST SHIFT DP WFH</t>
  </si>
  <si>
    <t>FSDWFH</t>
  </si>
  <si>
    <t>Expert</t>
  </si>
  <si>
    <t>TS Pages</t>
  </si>
  <si>
    <t>Revoked</t>
  </si>
  <si>
    <t>Practitioner</t>
  </si>
  <si>
    <t>XML</t>
  </si>
  <si>
    <t>SECOND SHIFT DP WFH</t>
  </si>
  <si>
    <t>SSDWFH</t>
  </si>
  <si>
    <t>VSI</t>
  </si>
  <si>
    <t>ARTICLE Count</t>
  </si>
  <si>
    <t>GENERAL SATURDAY SHIFT DP WFH</t>
  </si>
  <si>
    <t>GSSDWFH</t>
  </si>
  <si>
    <t>S100</t>
  </si>
  <si>
    <t>P100</t>
  </si>
  <si>
    <t>GENERAL SHIFT NP WFO</t>
  </si>
  <si>
    <t>GSNWFO</t>
  </si>
  <si>
    <t>CBE</t>
  </si>
  <si>
    <t>GENERAL SATURDAY SHIFT NP WFO</t>
  </si>
  <si>
    <t>GSSNWFO</t>
  </si>
  <si>
    <t>PILOT</t>
  </si>
  <si>
    <t>MS Pages</t>
  </si>
  <si>
    <t>MCQC</t>
  </si>
  <si>
    <t>XMLTAGGING-1</t>
  </si>
  <si>
    <t>S100ACTXMLERROR</t>
  </si>
  <si>
    <t>NAGMR</t>
  </si>
  <si>
    <t>JDCR</t>
  </si>
  <si>
    <t>NAGMR-VSI-J-Category-72</t>
  </si>
  <si>
    <t>YMTC</t>
  </si>
  <si>
    <t>YMJD</t>
  </si>
  <si>
    <t>NAGMR-VSI-J-Category-157</t>
  </si>
  <si>
    <t>YMAI</t>
  </si>
  <si>
    <t>S200</t>
  </si>
  <si>
    <t>XJON</t>
  </si>
  <si>
    <t>NAGMR-VSI-J-Category-136</t>
  </si>
  <si>
    <t>NIGHT SHIFT DP WFH</t>
  </si>
  <si>
    <t>NSWFH</t>
  </si>
  <si>
    <t>TEAM-02</t>
  </si>
  <si>
    <t>JVAL</t>
  </si>
  <si>
    <t>NAGMR-VSI-J-Category-95</t>
  </si>
  <si>
    <t>C</t>
  </si>
  <si>
    <t>VHRI</t>
  </si>
  <si>
    <t>NAGMR-VSI-J-Category-125</t>
  </si>
  <si>
    <t>TEAM-22</t>
  </si>
  <si>
    <t>YAJKD</t>
  </si>
  <si>
    <t>NAGMR-VSI-J-Category-143</t>
  </si>
  <si>
    <t>TEAM-18</t>
  </si>
  <si>
    <t>IGIE</t>
  </si>
  <si>
    <t>NAGMR-VSI-J-DEFAULT</t>
  </si>
  <si>
    <t>AED</t>
  </si>
  <si>
    <t>NAGMR-VSI-J-Category-1</t>
  </si>
  <si>
    <t>TEAM-19</t>
  </si>
  <si>
    <t>JVIR</t>
  </si>
  <si>
    <t>NAGMR-VSI-J-Category-96</t>
  </si>
  <si>
    <t>JID</t>
  </si>
  <si>
    <t>NAGMR-VSI-J-Category-78</t>
  </si>
  <si>
    <t>ATS</t>
  </si>
  <si>
    <t>NAGMR-VSI-J-Category-12</t>
  </si>
  <si>
    <t>NAGMR-VSI-J-Category-123</t>
  </si>
  <si>
    <t>Proficient</t>
  </si>
  <si>
    <t>S5</t>
  </si>
  <si>
    <t>S300</t>
  </si>
  <si>
    <t>ISSUEXMLQC</t>
  </si>
  <si>
    <t>TEAM-16</t>
  </si>
  <si>
    <t>JAC</t>
  </si>
  <si>
    <t>NAGMR-VSI-J-Category-51</t>
  </si>
  <si>
    <t>TEAM-09</t>
  </si>
  <si>
    <t>HRTHM</t>
  </si>
  <si>
    <t>NAGMR-VSI-J-Category-47</t>
  </si>
  <si>
    <t>YJHSU</t>
  </si>
  <si>
    <t>NAGMR-VSI-J-Category-148</t>
  </si>
  <si>
    <t>TEAM-20</t>
  </si>
  <si>
    <t>BVTH</t>
  </si>
  <si>
    <t>BLOOD</t>
  </si>
  <si>
    <t>NAGMR-VSI-J-Category-20</t>
  </si>
  <si>
    <t>BLOODA</t>
  </si>
  <si>
    <t>TEAM-13</t>
  </si>
  <si>
    <t>XOPS</t>
  </si>
  <si>
    <t>NAGMR-CBE-J-Category-123</t>
  </si>
  <si>
    <t>TEAM-15</t>
  </si>
  <si>
    <t>JMCP</t>
  </si>
  <si>
    <t>NAGMR-VSI-J-Category-81</t>
  </si>
  <si>
    <t>JOGN</t>
  </si>
  <si>
    <t>NAGMR-VSI-J-Category-87</t>
  </si>
  <si>
    <t>YJOMS</t>
  </si>
  <si>
    <t>NAGMR-VSI-J-Category-149</t>
  </si>
  <si>
    <t>RSVP</t>
  </si>
  <si>
    <t>TEAM-10</t>
  </si>
  <si>
    <t>YARTH</t>
  </si>
  <si>
    <t>NAGMR-CBE-J-DEFAULT</t>
  </si>
  <si>
    <t>TEAM-06</t>
  </si>
  <si>
    <t>JCE</t>
  </si>
  <si>
    <t>OPHTHA</t>
  </si>
  <si>
    <t>TEAM-17</t>
  </si>
  <si>
    <t>JAAC</t>
  </si>
  <si>
    <t>NAGMR-VSI-J-Category-50</t>
  </si>
  <si>
    <t>YMSY</t>
  </si>
  <si>
    <t>YMGE</t>
  </si>
  <si>
    <t>NAGMR-VSI-J-Category-156</t>
  </si>
  <si>
    <t>TJNP</t>
  </si>
  <si>
    <t>NAGMR-VSI-J-Category-122</t>
  </si>
  <si>
    <t>SXML</t>
  </si>
  <si>
    <t>CEXMLQC</t>
  </si>
  <si>
    <t>JAH</t>
  </si>
  <si>
    <t>JACADV</t>
  </si>
  <si>
    <t>NAGMR-VSI-J-Category-52</t>
  </si>
  <si>
    <t>YEJVS</t>
  </si>
  <si>
    <t>TEAM-11</t>
  </si>
  <si>
    <t>JACASI</t>
  </si>
  <si>
    <t>XKME</t>
  </si>
  <si>
    <t>NAGMR-VSI-J-Category-138</t>
  </si>
  <si>
    <t>JACCAS</t>
  </si>
  <si>
    <t>NAGMR-VSI-J-Category-39</t>
  </si>
  <si>
    <t>YGAST</t>
  </si>
  <si>
    <t>NAGMR-VSI-J-Category-145</t>
  </si>
  <si>
    <t>LANMIC</t>
  </si>
  <si>
    <t>S100RESUPPLY</t>
  </si>
  <si>
    <t>TEAM-08</t>
  </si>
  <si>
    <t>YMOD</t>
  </si>
  <si>
    <t>TEAM-07</t>
  </si>
  <si>
    <t>ESMOOP</t>
  </si>
  <si>
    <t>NAGMR-VSI-J-Category-135</t>
  </si>
  <si>
    <t>MODPAT</t>
  </si>
  <si>
    <t>SOARD</t>
  </si>
  <si>
    <t>TEAM-21</t>
  </si>
  <si>
    <t>MCPRO</t>
  </si>
  <si>
    <t>IOTECH</t>
  </si>
  <si>
    <t>NAGMR-VSI-J-Category-48</t>
  </si>
  <si>
    <t>JTHO</t>
  </si>
  <si>
    <t>SECOND SHIFT DP WFO</t>
  </si>
  <si>
    <t>SSDWFO</t>
  </si>
  <si>
    <t>CJCA</t>
  </si>
  <si>
    <t>NAGMR-VSI-J-Category-26</t>
  </si>
  <si>
    <t>NAGMR-VSI-J-Category-98</t>
  </si>
  <si>
    <t>JAPH</t>
  </si>
  <si>
    <t>NAGMR-VSI-J-Category-62</t>
  </si>
  <si>
    <t>PIQO</t>
  </si>
  <si>
    <t>NAGMR-VSI-J-Category-112</t>
  </si>
  <si>
    <t>HRCR</t>
  </si>
  <si>
    <t>NAGMR-VSI-J-Category-45</t>
  </si>
  <si>
    <t>JAIP</t>
  </si>
  <si>
    <t>NAGMR-VSI-J-Category-60</t>
  </si>
  <si>
    <t>JVSV</t>
  </si>
  <si>
    <t>NAGMR-VSI-J-Category-99</t>
  </si>
  <si>
    <t>ASPETD</t>
  </si>
  <si>
    <t>PHARMR</t>
  </si>
  <si>
    <t>CHPULM</t>
  </si>
  <si>
    <t>NAGMR-VSI-J-Category-24</t>
  </si>
  <si>
    <t>DMD</t>
  </si>
  <si>
    <t>CHSTCC</t>
  </si>
  <si>
    <t>FIRST SHIFT DP WFO</t>
  </si>
  <si>
    <t>FSDWFO</t>
  </si>
  <si>
    <t>OT</t>
  </si>
  <si>
    <t>ADAJ</t>
  </si>
  <si>
    <t>NAGMR-VSI-J-Category-3</t>
  </si>
  <si>
    <t>PREEDIT</t>
  </si>
  <si>
    <t>Dhanasekar K</t>
  </si>
  <si>
    <t>BPSC</t>
  </si>
  <si>
    <t>JCIN</t>
  </si>
  <si>
    <t>NAGMR-VSI-J-Category-66</t>
  </si>
  <si>
    <t>TEAM-14</t>
  </si>
  <si>
    <t>WNEU</t>
  </si>
  <si>
    <t>FNS</t>
  </si>
  <si>
    <t>CJCO</t>
  </si>
  <si>
    <t>NAGMR-VSI-J-Category-27</t>
  </si>
  <si>
    <t>ANNONC</t>
  </si>
  <si>
    <t>NAGMR-VSI-J-Category-9</t>
  </si>
  <si>
    <t>CHEST</t>
  </si>
  <si>
    <t>ESMORW</t>
  </si>
  <si>
    <t>JSCAI</t>
  </si>
  <si>
    <t>Sivanandham K 15842</t>
  </si>
  <si>
    <t>NITHYA P</t>
  </si>
  <si>
    <t>Saravanan</t>
  </si>
  <si>
    <t>NEUROM</t>
  </si>
  <si>
    <t>JTHA</t>
  </si>
  <si>
    <t>RPTH</t>
  </si>
  <si>
    <t>XML-GRA-SUPPORT-1</t>
  </si>
  <si>
    <t>JACBTS</t>
  </si>
  <si>
    <t>NAGMR-VSI-J-Category-53</t>
  </si>
  <si>
    <t>ACEPJO</t>
  </si>
  <si>
    <t>ATSSR</t>
  </si>
  <si>
    <t>YMEM</t>
  </si>
  <si>
    <t>NAGMR-VSI-J-Category-154</t>
  </si>
  <si>
    <t>LANHL</t>
  </si>
  <si>
    <t>PROCESSTUDXML</t>
  </si>
  <si>
    <t>TUDCREATION</t>
  </si>
  <si>
    <t>EKIR</t>
  </si>
  <si>
    <t>NAGMR-VSI-J-Category-36</t>
  </si>
  <si>
    <t>LANEPE</t>
  </si>
  <si>
    <t>ACTXMLERROR</t>
  </si>
  <si>
    <t>S5PDFBATCHERROR</t>
  </si>
  <si>
    <t>BNEO</t>
  </si>
  <si>
    <t>BICT</t>
  </si>
  <si>
    <t>YMOB</t>
  </si>
  <si>
    <t>NAGMR-VSI-J-Category-159</t>
  </si>
  <si>
    <t>TEAM-05</t>
  </si>
  <si>
    <t>YJSRE</t>
  </si>
  <si>
    <t>JTOCRR</t>
  </si>
  <si>
    <t>XFRE</t>
  </si>
  <si>
    <t>JOGC</t>
  </si>
  <si>
    <t>NAGMR-VSI-J-Category-86</t>
  </si>
  <si>
    <t>YMNL</t>
  </si>
  <si>
    <t>BGLO</t>
  </si>
  <si>
    <t>Kokila D 20535</t>
  </si>
  <si>
    <t>JACIG</t>
  </si>
  <si>
    <t>JCJD</t>
  </si>
  <si>
    <t>NAGMR-VSI-J-Category-67</t>
  </si>
  <si>
    <t>Balaji A</t>
  </si>
  <si>
    <t>Senthilraj</t>
  </si>
  <si>
    <t>BRCI</t>
  </si>
  <si>
    <t>Bhavithra K 21151</t>
  </si>
  <si>
    <t>XML-GRA-SUPPORT-2</t>
  </si>
  <si>
    <t>NAGMR-VSI-J-Category-73</t>
  </si>
  <si>
    <t>"</t>
  </si>
  <si>
    <t>Youth</t>
  </si>
  <si>
    <t>HROO</t>
  </si>
  <si>
    <t>NAGMR-VSI-J-Category-46</t>
  </si>
  <si>
    <t>Novice</t>
  </si>
  <si>
    <t>JDRV</t>
  </si>
  <si>
    <t>Senthilraj J 22541</t>
  </si>
  <si>
    <t>CVTCHECK</t>
  </si>
  <si>
    <t>HLC</t>
  </si>
  <si>
    <t>NAGMR-VSI-J-Category-44</t>
  </si>
  <si>
    <t>Chandhiya S 22720</t>
  </si>
  <si>
    <t>Karthikeyan D 22828</t>
  </si>
  <si>
    <t>Vigneshwaran P 22833</t>
  </si>
  <si>
    <t>Gokula Krishnan S 22923</t>
  </si>
  <si>
    <t>FVCTERROR</t>
  </si>
  <si>
    <t>CJCPC</t>
  </si>
  <si>
    <t>Deepika N 22955</t>
  </si>
  <si>
    <t>Sankareshwari K 22957</t>
  </si>
  <si>
    <t>JVSSCI</t>
  </si>
  <si>
    <t>Prabha S 22961</t>
  </si>
  <si>
    <t>LABINV</t>
  </si>
  <si>
    <t>Kalaivanan K 23043</t>
  </si>
  <si>
    <t>Suriya Prakash J 23044</t>
  </si>
  <si>
    <t>KISU</t>
  </si>
  <si>
    <t>NAGMR-VSI-J-Category-101</t>
  </si>
  <si>
    <t>Hema S 23046</t>
  </si>
  <si>
    <t>Gnanapriya M 23047</t>
  </si>
  <si>
    <t>JAPHPI</t>
  </si>
  <si>
    <t>YMEN</t>
  </si>
  <si>
    <t>NAGMR-VSI-J-Category-155</t>
  </si>
  <si>
    <t>REF-QA</t>
  </si>
  <si>
    <t>Held</t>
  </si>
  <si>
    <t>JASC</t>
  </si>
  <si>
    <t>LANPLH</t>
  </si>
  <si>
    <t>JAACOP</t>
  </si>
  <si>
    <t>Surya M 16681</t>
  </si>
  <si>
    <t>Jeevitha 20845</t>
  </si>
  <si>
    <t>Mohana V 20885</t>
  </si>
  <si>
    <t>Mirthika 22279</t>
  </si>
  <si>
    <t>Gokul 22326</t>
  </si>
  <si>
    <t>Rohini 22602</t>
  </si>
  <si>
    <t>Imthiyas Sheik Dawood 22924</t>
  </si>
  <si>
    <t>Gowthaman 22958</t>
  </si>
  <si>
    <t>Babu V 23149</t>
  </si>
  <si>
    <t>NITHYA P 7634</t>
  </si>
  <si>
    <t>Row Labels</t>
  </si>
  <si>
    <t>Grand Total</t>
  </si>
  <si>
    <t>Count of Process</t>
  </si>
  <si>
    <t>Values</t>
  </si>
  <si>
    <t>Sum of totaltime</t>
  </si>
  <si>
    <t>Sum of efficitiveHours</t>
  </si>
  <si>
    <t>Average of non_productivity_hours</t>
  </si>
  <si>
    <t>Total</t>
  </si>
  <si>
    <t>Remarks</t>
  </si>
  <si>
    <t>(Multiple Items)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</si>
</sst>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4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0" xfId="0" applyFont="1" applyFill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1" formatCode="[h]:mm:ss"/>
    </dxf>
    <dxf>
      <numFmt numFmtId="31" formatCode="[h]:mm:ss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3874" refreshedDate="46075.925299421295" createdVersion="3" refreshedVersion="3" minRefreshableVersion="3" recordCount="335">
  <cacheSource type="worksheet">
    <worksheetSource ref="A1:AI336" sheet="productivity_detailed_report_20"/>
  </cacheSource>
  <cacheFields count="35">
    <cacheField name="UID" numFmtId="0">
      <sharedItems containsSemiMixedTypes="0" containsString="0" containsNumber="1" containsInteger="1" minValue="7634" maxValue="23149"/>
    </cacheField>
    <cacheField name="Name" numFmtId="0">
      <sharedItems count="25">
        <s v="Sivanandham K 15842"/>
        <s v="Surya M 16681"/>
        <s v="Kokila D 20535"/>
        <s v="Jeevitha 20845"/>
        <s v="Mohana V 20885"/>
        <s v="Bhavithra K 21151"/>
        <s v="Mirthika 22279"/>
        <s v="Gokul 22326"/>
        <s v="Senthilraj J 22541"/>
        <s v="Rohini 22602"/>
        <s v="Chandhiya S 22720"/>
        <s v="Karthikeyan D 22828"/>
        <s v="Vigneshwaran P 22833"/>
        <s v="Gokula Krishnan S 22923"/>
        <s v="Imthiyas Sheik Dawood 22924"/>
        <s v="Deepika N 22955"/>
        <s v="Sankareshwari K 22957"/>
        <s v="Gowthaman 22958"/>
        <s v="Prabha S 22961"/>
        <s v="Kalaivanan K 23043"/>
        <s v="Suriya Prakash J 23044"/>
        <s v="Hema S 23046"/>
        <s v="Gnanapriya M 23047"/>
        <s v="Babu V 23149"/>
        <s v="NITHYA P 7634"/>
      </sharedItems>
    </cacheField>
    <cacheField name="reporting_manager_ID" numFmtId="0">
      <sharedItems containsString="0" containsBlank="1" containsNumber="1" containsInteger="1" minValue="3874" maxValue="22541"/>
    </cacheField>
    <cacheField name="reporting_manager_name" numFmtId="0">
      <sharedItems containsBlank="1"/>
    </cacheField>
    <cacheField name="nimble_manager_ID" numFmtId="0">
      <sharedItems containsString="0" containsBlank="1" containsNumber="1" containsInteger="1" minValue="3874" maxValue="3874"/>
    </cacheField>
    <cacheField name="nimble_manager_name" numFmtId="0">
      <sharedItems containsBlank="1"/>
    </cacheField>
    <cacheField name="shift_date" numFmtId="0">
      <sharedItems containsNonDate="0" containsDate="1" containsString="0" containsBlank="1" minDate="2026-02-21T00:00:00" maxDate="2026-02-22T00:00:00"/>
    </cacheField>
    <cacheField name="teamgroup" numFmtId="0">
      <sharedItems containsBlank="1"/>
    </cacheField>
    <cacheField name="department" numFmtId="0">
      <sharedItems containsBlank="1"/>
    </cacheField>
    <cacheField name="Team" numFmtId="0">
      <sharedItems containsBlank="1"/>
    </cacheField>
    <cacheField name="Jid / Author" numFmtId="0">
      <sharedItems/>
    </cacheField>
    <cacheField name="Article Id / ISBN" numFmtId="0">
      <sharedItems containsSemiMixedTypes="0" containsString="0" containsNumber="1" containsInteger="1" minValue="0" maxValue="124888"/>
    </cacheField>
    <cacheField name="Vol / CH" numFmtId="0">
      <sharedItems containsMixedTypes="1" containsNumber="1" containsInteger="1" minValue="0" maxValue="157"/>
    </cacheField>
    <cacheField name="issue" numFmtId="0">
      <sharedItems containsString="0" containsBlank="1" containsNumber="1" containsInteger="1" minValue="0" maxValue="5"/>
    </cacheField>
    <cacheField name="supplement" numFmtId="0">
      <sharedItems containsBlank="1" containsMixedTypes="1" containsNumber="1" containsInteger="1" minValue="0" maxValue="0"/>
    </cacheField>
    <cacheField name="Stage" numFmtId="0">
      <sharedItems/>
    </cacheField>
    <cacheField name="Process" numFmtId="0">
      <sharedItems/>
    </cacheField>
    <cacheField name="taskstatus" numFmtId="0">
      <sharedItems count="3">
        <s v="Completed"/>
        <s v="Revoked"/>
        <s v="Held"/>
      </sharedItems>
    </cacheField>
    <cacheField name="category" numFmtId="0">
      <sharedItems containsBlank="1"/>
    </cacheField>
    <cacheField name="starttime" numFmtId="22">
      <sharedItems containsSemiMixedTypes="0" containsNonDate="0" containsDate="1" containsString="0" minDate="2026-02-12T13:11:24" maxDate="2026-02-21T22:33:33"/>
    </cacheField>
    <cacheField name="endtime" numFmtId="22">
      <sharedItems containsSemiMixedTypes="0" containsNonDate="0" containsDate="1" containsString="0" minDate="2026-02-18T14:08:43" maxDate="2026-02-21T22:57:07"/>
    </cacheField>
    <cacheField name="totaltime" numFmtId="21">
      <sharedItems containsSemiMixedTypes="0" containsNonDate="0" containsDate="1" containsString="0" minDate="1899-12-30T00:00:04" maxDate="1899-12-30T01:50:28"/>
    </cacheField>
    <cacheField name="unit" numFmtId="0">
      <sharedItems containsBlank="1"/>
    </cacheField>
    <cacheField name="actual" numFmtId="0">
      <sharedItems containsString="0" containsBlank="1" containsNumber="1" containsInteger="1" minValue="0" maxValue="872"/>
    </cacheField>
    <cacheField name="target" numFmtId="0">
      <sharedItems containsString="0" containsBlank="1" containsNumber="1" minValue="1" maxValue="300"/>
    </cacheField>
    <cacheField name="efficitiveHours" numFmtId="21">
      <sharedItems containsSemiMixedTypes="0" containsNonDate="0" containsDate="1" containsString="0" minDate="1899-12-30T00:00:09" maxDate="1899-12-30T02:54:24"/>
    </cacheField>
    <cacheField name="efficitiveHoursDigits" numFmtId="0">
      <sharedItems containsString="0" containsBlank="1" containsNumber="1" minValue="0" maxValue="2.91"/>
    </cacheField>
    <cacheField name="location" numFmtId="0">
      <sharedItems containsBlank="1"/>
    </cacheField>
    <cacheField name="totalefficitiveHours" numFmtId="0">
      <sharedItems containsNonDate="0" containsDate="1" containsString="0" containsBlank="1" minDate="1899-12-30T00:03:21" maxDate="1899-12-30T11:13:09"/>
    </cacheField>
    <cacheField name="Customer" numFmtId="0">
      <sharedItems containsBlank="1"/>
    </cacheField>
    <cacheField name="Type" numFmtId="0">
      <sharedItems containsBlank="1"/>
    </cacheField>
    <cacheField name="shift_description" numFmtId="0">
      <sharedItems containsBlank="1"/>
    </cacheField>
    <cacheField name="Shift" numFmtId="0">
      <sharedItems containsBlank="1"/>
    </cacheField>
    <cacheField name="non_productivity_hours" numFmtId="0">
      <sharedItems containsDate="1" containsBlank="1" containsMixedTypes="1" minDate="1899-12-30T00:02:57" maxDate="1899-12-30T00:38:31"/>
    </cacheField>
    <cacheField name="Skill Level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">
  <r>
    <n v="15842"/>
    <x v="0"/>
    <n v="7634"/>
    <s v="NITHYA P"/>
    <n v="3874"/>
    <s v="Saravanan"/>
    <d v="2026-02-21T00:00:00"/>
    <s v="NAGMR"/>
    <s v="XML"/>
    <s v="TEAM-02"/>
    <s v="VHRI"/>
    <n v="101593"/>
    <n v="0"/>
    <n v="0"/>
    <n v="0"/>
    <s v="S100"/>
    <s v="SXML"/>
    <x v="0"/>
    <s v="NAGMR-VSI-J-Category-125"/>
    <d v="2026-02-21T09:36:39"/>
    <d v="2026-02-21T10:36:40"/>
    <d v="1899-12-30T01:00:01"/>
    <s v="MS Pages"/>
    <n v="37"/>
    <n v="37"/>
    <d v="1899-12-30T01:00:00"/>
    <n v="1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NEUROM"/>
    <n v="827"/>
    <n v="0"/>
    <n v="0"/>
    <n v="0"/>
    <s v="S100"/>
    <s v="SXML"/>
    <x v="0"/>
    <s v="NAGMR-VSI-J-DEFAULT"/>
    <d v="2026-02-21T08:48:42"/>
    <d v="2026-02-21T09:36:33"/>
    <d v="1899-12-30T00:47:51"/>
    <s v="MS Pages"/>
    <n v="28"/>
    <n v="40"/>
    <d v="1899-12-30T00:42:00"/>
    <n v="0.7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JTHA"/>
    <n v="1408"/>
    <n v="0"/>
    <n v="0"/>
    <n v="0"/>
    <s v="S100"/>
    <s v="SXML"/>
    <x v="0"/>
    <s v="NAGMR-VSI-J-Category-9"/>
    <d v="2026-02-21T13:07:09"/>
    <d v="2026-02-21T13:41:28"/>
    <d v="1899-12-30T00:34:19"/>
    <s v="MS Pages"/>
    <n v="35"/>
    <n v="37"/>
    <d v="1899-12-30T00:56:45"/>
    <n v="0.95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JTHA"/>
    <n v="1407"/>
    <n v="0"/>
    <n v="0"/>
    <n v="0"/>
    <s v="S100"/>
    <s v="SXML"/>
    <x v="0"/>
    <s v="NAGMR-VSI-J-Category-9"/>
    <d v="2026-02-21T12:15:37"/>
    <d v="2026-02-21T12:48:31"/>
    <d v="1899-12-30T00:32:54"/>
    <s v="MS Pages"/>
    <n v="18"/>
    <n v="37"/>
    <d v="1899-12-30T00:29:11"/>
    <n v="0.49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RPTH"/>
    <n v="103391"/>
    <n v="0"/>
    <n v="0"/>
    <n v="0"/>
    <s v="S100"/>
    <s v="SXML"/>
    <x v="0"/>
    <s v="NAGMR-VSI-J-Category-123"/>
    <d v="2026-02-21T14:48:00"/>
    <d v="2026-02-21T15:18:58"/>
    <d v="1899-12-30T00:30:58"/>
    <s v="MS Pages"/>
    <n v="20"/>
    <n v="27"/>
    <d v="1899-12-30T00:44:26"/>
    <n v="0.74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9"/>
    <s v="JAPH"/>
    <n v="103052"/>
    <n v="0"/>
    <n v="0"/>
    <n v="0"/>
    <s v="S100"/>
    <s v="SXML"/>
    <x v="0"/>
    <s v="NAGMR-VSI-J-Category-62"/>
    <d v="2026-02-21T07:50:56"/>
    <d v="2026-02-21T08:04:05"/>
    <d v="1899-12-30T00:13:09"/>
    <s v="MS Pages"/>
    <n v="1"/>
    <n v="37"/>
    <d v="1899-12-30T00:01:37"/>
    <n v="0.03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JTHA"/>
    <n v="1412"/>
    <n v="0"/>
    <n v="0"/>
    <n v="0"/>
    <s v="S100"/>
    <s v="SXML"/>
    <x v="0"/>
    <s v="NAGMR-VSI-J-Category-9"/>
    <d v="2026-02-21T12:48:37"/>
    <d v="2026-02-21T13:07:01"/>
    <d v="1899-12-30T00:18:24"/>
    <s v="MS Pages"/>
    <n v="13"/>
    <n v="37"/>
    <d v="1899-12-30T00:21:04"/>
    <n v="0.35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18"/>
    <s v="YMGE"/>
    <n v="0"/>
    <n v="103"/>
    <n v="4"/>
    <m/>
    <s v="P100"/>
    <s v="XMLTAGGING-1"/>
    <x v="0"/>
    <s v="NAGMR-VSI-J-Category-156"/>
    <d v="2026-02-21T10:58:03"/>
    <d v="2026-02-21T11:33:49"/>
    <d v="1899-12-30T00:35:46"/>
    <s v="ARTICLE Count"/>
    <n v="1"/>
    <n v="4"/>
    <d v="1899-12-30T00:15:00"/>
    <n v="0.25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JTHA"/>
    <n v="1406"/>
    <n v="0"/>
    <n v="0"/>
    <n v="0"/>
    <s v="S100"/>
    <s v="SXML"/>
    <x v="0"/>
    <s v="NAGMR-VSI-J-Category-9"/>
    <d v="2026-02-21T11:33:55"/>
    <d v="2026-02-21T12:15:32"/>
    <d v="1899-12-30T00:41:37"/>
    <s v="MS Pages"/>
    <n v="26"/>
    <n v="37"/>
    <d v="1899-12-30T00:42:09"/>
    <n v="0.7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JTHA"/>
    <n v="1411"/>
    <n v="0"/>
    <n v="0"/>
    <n v="0"/>
    <s v="S100"/>
    <s v="SXML"/>
    <x v="0"/>
    <s v="NAGMR-VSI-J-Category-9"/>
    <d v="2026-02-21T13:46:50"/>
    <d v="2026-02-21T14:47:56"/>
    <d v="1899-12-30T01:01:06"/>
    <s v="MS Pages"/>
    <n v="34"/>
    <n v="37"/>
    <d v="1899-12-30T00:55:08"/>
    <n v="0.92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15"/>
    <s v="JMCP"/>
    <n v="5111"/>
    <n v="0"/>
    <n v="0"/>
    <n v="0"/>
    <s v="S100"/>
    <s v="SXML"/>
    <x v="0"/>
    <s v="NAGMR-VSI-J-Category-81"/>
    <d v="2026-02-21T10:36:59"/>
    <d v="2026-02-21T10:57:58"/>
    <d v="1899-12-30T00:20:59"/>
    <s v="MS Pages"/>
    <n v="1"/>
    <n v="37"/>
    <d v="1899-12-30T00:15:32"/>
    <n v="0.03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07"/>
    <s v="ESMOOP"/>
    <n v="106889"/>
    <n v="0"/>
    <n v="0"/>
    <n v="0"/>
    <s v="S100"/>
    <s v="SXML"/>
    <x v="0"/>
    <s v="NAGMR-VSI-J-Category-135"/>
    <d v="2026-02-21T08:04:12"/>
    <d v="2026-02-21T08:48:36"/>
    <d v="1899-12-30T00:44:24"/>
    <s v="MS Pages"/>
    <n v="22"/>
    <n v="37"/>
    <d v="1899-12-30T00:35:40"/>
    <n v="0.59"/>
    <s v="VSI"/>
    <d v="1899-12-30T07:00:40"/>
    <s v="NAGMR"/>
    <s v="journals"/>
    <s v="FIRST SHIFT DP WFH"/>
    <s v="FSDWFH"/>
    <s v="-"/>
    <s v="Expert"/>
  </r>
  <r>
    <n v="15842"/>
    <x v="0"/>
    <n v="7634"/>
    <s v="NITHYA P"/>
    <n v="3874"/>
    <s v="Saravanan"/>
    <d v="2026-02-21T00:00:00"/>
    <s v="NAGMR"/>
    <s v="XML"/>
    <s v="TEAM-15"/>
    <s v="CJCA"/>
    <n v="5903"/>
    <n v="0"/>
    <n v="0"/>
    <n v="0"/>
    <s v="S100"/>
    <s v="XML-GRA-SUPPORT-1"/>
    <x v="0"/>
    <s v="NAGMR-VSI-J-Category-26"/>
    <d v="2026-02-21T13:41:43"/>
    <d v="2026-02-21T13:46:30"/>
    <d v="1899-12-30T00:04:47"/>
    <s v="ARTICLE Count"/>
    <n v="1"/>
    <n v="28"/>
    <d v="1899-12-30T00:02:08"/>
    <n v="0.04"/>
    <s v="VSI"/>
    <d v="1899-12-30T07:00:40"/>
    <s v="NAGMR"/>
    <s v="journals"/>
    <s v="FIRST SHIFT DP WFH"/>
    <s v="FSDWFH"/>
    <s v="-"/>
    <s v="Practitioner"/>
  </r>
  <r>
    <n v="16681"/>
    <x v="1"/>
    <n v="4175"/>
    <s v="Dhanasekar K"/>
    <n v="3874"/>
    <s v="Saravanan"/>
    <d v="2026-02-21T00:00:00"/>
    <s v="NAGMR"/>
    <s v="XML"/>
    <s v="TEAM-16"/>
    <s v="JACCAS"/>
    <n v="107400"/>
    <n v="0"/>
    <n v="0"/>
    <n v="0"/>
    <s v="S5"/>
    <s v="PROCESSTUDXML"/>
    <x v="0"/>
    <s v="NAGMR-VSI-J-Category-39"/>
    <d v="2026-02-21T13:56:14"/>
    <d v="2026-02-21T14:04:05"/>
    <d v="1899-12-30T00:07:51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7"/>
    <s v="JAAC"/>
    <n v="5387"/>
    <n v="0"/>
    <n v="0"/>
    <n v="0"/>
    <s v="S5"/>
    <s v="TUDCREATION"/>
    <x v="0"/>
    <s v="NAGMR-VSI-J-Category-50"/>
    <d v="2026-02-21T13:36:28"/>
    <d v="2026-02-21T13:41:40"/>
    <d v="1899-12-30T00:05:12"/>
    <s v="ARTICLE Count"/>
    <n v="1"/>
    <n v="3"/>
    <d v="1899-12-30T00:20:00"/>
    <n v="0.33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7"/>
    <s v="CHSTCC"/>
    <n v="100252"/>
    <n v="0"/>
    <n v="0"/>
    <n v="0"/>
    <s v="S5"/>
    <s v="TUDCREATION"/>
    <x v="0"/>
    <s v="NAGMR-VSI-J-Category-24"/>
    <d v="2026-02-21T14:51:29"/>
    <d v="2026-02-21T14:56:29"/>
    <d v="1899-12-30T00:05:00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09"/>
    <s v="HRTHM"/>
    <n v="11773"/>
    <n v="0"/>
    <n v="0"/>
    <n v="0"/>
    <s v="S5"/>
    <s v="TUDCREATION"/>
    <x v="0"/>
    <s v="NAGMR-VSI-J-Category-47"/>
    <d v="2026-02-21T13:30:12"/>
    <d v="2026-02-21T13:36:22"/>
    <d v="1899-12-30T00:06:10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7"/>
    <s v="EKIR"/>
    <n v="106382"/>
    <n v="0"/>
    <n v="0"/>
    <n v="0"/>
    <s v="S5"/>
    <s v="TUDCREATION"/>
    <x v="0"/>
    <s v="NAGMR-VSI-J-Category-36"/>
    <d v="2026-02-21T15:02:46"/>
    <d v="2026-02-21T15:18:49"/>
    <d v="1899-12-30T00:16:03"/>
    <s v="ARTICLE Count"/>
    <n v="1"/>
    <n v="3"/>
    <d v="1899-12-30T00:20:00"/>
    <n v="0.33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1"/>
    <s v="LANEPE"/>
    <n v="101636"/>
    <n v="0"/>
    <n v="0"/>
    <n v="0"/>
    <s v="S5"/>
    <s v="PROCESSTUDXML"/>
    <x v="0"/>
    <s v="NAGMR-VSI-J-Category-123"/>
    <d v="2026-02-21T13:41:49"/>
    <d v="2026-02-21T13:48:12"/>
    <d v="1899-12-30T00:06:23"/>
    <s v="ARTICLE Count"/>
    <n v="1"/>
    <n v="3"/>
    <d v="1899-12-30T00:20:00"/>
    <n v="0.33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09"/>
    <s v="HRTHM"/>
    <n v="11772"/>
    <n v="0"/>
    <n v="0"/>
    <n v="0"/>
    <s v="S5"/>
    <s v="TUDCREATION"/>
    <x v="0"/>
    <s v="NAGMR-VSI-J-Category-47"/>
    <d v="2026-02-21T13:26:22"/>
    <d v="2026-02-21T13:30:07"/>
    <d v="1899-12-30T00:03:45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6"/>
    <s v="JACCAS"/>
    <n v="107395"/>
    <n v="0"/>
    <n v="0"/>
    <n v="0"/>
    <s v="S5"/>
    <s v="PROCESSTUDXML"/>
    <x v="0"/>
    <s v="NAGMR-VSI-J-Category-39"/>
    <d v="2026-02-21T14:14:54"/>
    <d v="2026-02-21T14:22:45"/>
    <d v="1899-12-30T00:07:51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7"/>
    <s v="JAAC"/>
    <n v="5386"/>
    <n v="0"/>
    <n v="0"/>
    <n v="0"/>
    <s v="S5"/>
    <s v="TUDCREATION"/>
    <x v="0"/>
    <s v="NAGMR-VSI-J-Category-50"/>
    <d v="2026-02-21T13:48:17"/>
    <d v="2026-02-21T13:55:04"/>
    <d v="1899-12-30T00:06:47"/>
    <s v="ARTICLE Count"/>
    <n v="1"/>
    <n v="3"/>
    <d v="1899-12-30T00:20:00"/>
    <n v="0.33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PILOT"/>
    <s v="XJON"/>
    <n v="0"/>
    <n v="29"/>
    <m/>
    <s v="C"/>
    <s v="S300"/>
    <s v="ISSUEXMLQC"/>
    <x v="0"/>
    <s v="NAGMR-VSI-J-Category-136"/>
    <d v="2026-02-21T15:51:06"/>
    <d v="2026-02-21T17:15:24"/>
    <d v="1899-12-30T01:24:18"/>
    <s v="TS Pages"/>
    <n v="872"/>
    <n v="300"/>
    <d v="1899-12-30T02:54:24"/>
    <n v="2.91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6"/>
    <s v="JACCAS"/>
    <n v="107396"/>
    <n v="0"/>
    <n v="0"/>
    <n v="0"/>
    <s v="S5"/>
    <s v="PROCESSTUDXML"/>
    <x v="0"/>
    <s v="NAGMR-VSI-J-Category-39"/>
    <d v="2026-02-21T14:24:02"/>
    <d v="2026-02-21T14:51:01"/>
    <d v="1899-12-30T00:26:59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9"/>
    <s v="YGAST"/>
    <n v="67342"/>
    <n v="0"/>
    <n v="0"/>
    <n v="0"/>
    <s v="S5"/>
    <s v="TUDCREATION"/>
    <x v="0"/>
    <s v="NAGMR-VSI-J-Category-145"/>
    <d v="2026-02-21T15:27:42"/>
    <d v="2026-02-21T15:33:52"/>
    <d v="1899-12-30T00:06:10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9"/>
    <s v="YGAST"/>
    <n v="67341"/>
    <n v="0"/>
    <n v="0"/>
    <n v="0"/>
    <s v="S5"/>
    <s v="TUDCREATION"/>
    <x v="0"/>
    <s v="NAGMR-VSI-J-Category-145"/>
    <d v="2026-02-21T15:22:09"/>
    <d v="2026-02-21T15:27:38"/>
    <d v="1899-12-30T00:05:29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07"/>
    <s v="ESMOOP"/>
    <n v="0"/>
    <n v="11"/>
    <n v="2"/>
    <m/>
    <s v="S300"/>
    <s v="ISSUEXMLQC"/>
    <x v="0"/>
    <s v="NAGMR-VSI-J-Category-135"/>
    <d v="2026-02-21T18:33:43"/>
    <d v="2026-02-21T19:28:11"/>
    <d v="1899-12-30T00:54:28"/>
    <s v="TS Pages"/>
    <n v="332"/>
    <n v="300"/>
    <d v="1899-12-30T01:06:24"/>
    <n v="1.1100000000000001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7"/>
    <s v="EKIR"/>
    <n v="106382"/>
    <n v="0"/>
    <n v="0"/>
    <n v="0"/>
    <s v="S5"/>
    <s v="ACTXMLERROR"/>
    <x v="0"/>
    <s v="NAGMR-VSI-J-Category-36"/>
    <d v="2026-02-21T15:34:45"/>
    <d v="2026-02-21T15:37:03"/>
    <d v="1899-12-30T00:02:18"/>
    <s v="ARTICLE Count"/>
    <n v="1"/>
    <n v="7"/>
    <d v="1899-12-30T00:08:34"/>
    <n v="0.14000000000000001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9"/>
    <s v="YGAST"/>
    <n v="67340"/>
    <n v="0"/>
    <n v="0"/>
    <n v="0"/>
    <s v="S5"/>
    <s v="TUDCREATION"/>
    <x v="0"/>
    <s v="NAGMR-VSI-J-Category-145"/>
    <d v="2026-02-21T15:18:58"/>
    <d v="2026-02-21T15:22:06"/>
    <d v="1899-12-30T00:03:08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6"/>
    <s v="JACCAS"/>
    <n v="107399"/>
    <n v="0"/>
    <n v="0"/>
    <n v="0"/>
    <s v="S5"/>
    <s v="PROCESSTUDXML"/>
    <x v="0"/>
    <s v="NAGMR-VSI-J-Category-39"/>
    <d v="2026-02-21T14:04:24"/>
    <d v="2026-02-21T14:14:33"/>
    <d v="1899-12-30T00:10:09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7"/>
    <s v="JAAC"/>
    <n v="5387"/>
    <n v="0"/>
    <n v="0"/>
    <n v="0"/>
    <s v="S5"/>
    <s v="S5PDFBATCHERROR"/>
    <x v="0"/>
    <s v="NAGMR-VSI-J-Category-50"/>
    <d v="2026-02-21T15:34:05"/>
    <d v="2026-02-21T15:34:15"/>
    <d v="1899-12-30T00:00:10"/>
    <s v="ARTICLE Count"/>
    <n v="1"/>
    <n v="15"/>
    <d v="1899-12-30T00:04:00"/>
    <n v="7.0000000000000007E-2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22"/>
    <s v="ATSSR"/>
    <n v="865"/>
    <n v="0"/>
    <n v="0"/>
    <n v="0"/>
    <s v="S5"/>
    <s v="PROCESSTUDXML"/>
    <x v="0"/>
    <s v="NAGMR-VSI-J-DEFAULT"/>
    <d v="2026-02-21T13:20:54"/>
    <d v="2026-02-21T13:26:12"/>
    <d v="1899-12-30T00:05:18"/>
    <s v="ARTICLE Count"/>
    <n v="1"/>
    <n v="3"/>
    <d v="1899-12-30T00:20:00"/>
    <n v="0.33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9"/>
    <s v="YGAST"/>
    <n v="67333"/>
    <n v="0"/>
    <n v="0"/>
    <n v="0"/>
    <s v="S5"/>
    <s v="TUDCREATION"/>
    <x v="0"/>
    <s v="NAGMR-VSI-J-Category-145"/>
    <d v="2026-02-21T15:46:00"/>
    <d v="2026-02-21T15:50:54"/>
    <d v="1899-12-30T00:04:54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9"/>
    <s v="YEJVS"/>
    <n v="10294"/>
    <n v="0"/>
    <n v="0"/>
    <n v="0"/>
    <s v="S5"/>
    <s v="TUDCREATION"/>
    <x v="0"/>
    <s v="NAGMR-VSI-J-Category-20"/>
    <d v="2026-02-21T15:38:05"/>
    <d v="2026-02-21T15:42:41"/>
    <d v="1899-12-30T00:04:36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09"/>
    <s v="HRTHM"/>
    <n v="11770"/>
    <n v="0"/>
    <n v="0"/>
    <n v="0"/>
    <s v="S5"/>
    <s v="TUDCREATION"/>
    <x v="0"/>
    <s v="NAGMR-VSI-J-Category-47"/>
    <d v="2026-02-21T13:02:50"/>
    <d v="2026-02-21T13:20:45"/>
    <d v="1899-12-30T00:17:55"/>
    <s v="ARTICLE Count"/>
    <n v="1"/>
    <n v="4"/>
    <d v="1899-12-30T00:15:00"/>
    <n v="0.25"/>
    <s v="VSI"/>
    <d v="1899-12-30T09:34:22"/>
    <s v="NAGMR"/>
    <s v="journals"/>
    <s v="SECOND SHIFT DP WFH"/>
    <s v="SSDWFH"/>
    <s v="-"/>
    <s v="Expert"/>
  </r>
  <r>
    <n v="16681"/>
    <x v="1"/>
    <n v="4175"/>
    <s v="Dhanasekar K"/>
    <n v="3874"/>
    <s v="Saravanan"/>
    <d v="2026-02-21T00:00:00"/>
    <s v="NAGMR"/>
    <s v="XML"/>
    <s v="TEAM-19"/>
    <s v="ADAJ"/>
    <n v="0"/>
    <n v="157"/>
    <n v="3"/>
    <m/>
    <s v="S300"/>
    <s v="ISSUEXMLQC"/>
    <x v="0"/>
    <s v="NAGMR-VSI-J-Category-3"/>
    <d v="2026-02-21T17:15:29"/>
    <d v="2026-02-21T18:31:15"/>
    <d v="1899-12-30T01:15:46"/>
    <s v="TS Pages"/>
    <n v="130"/>
    <n v="300"/>
    <d v="1899-12-30T00:26:00"/>
    <n v="0.43"/>
    <s v="VSI"/>
    <d v="1899-12-30T09:34:22"/>
    <s v="NAGMR"/>
    <s v="journals"/>
    <s v="SECOND SHIFT DP WFH"/>
    <s v="SSDWFH"/>
    <s v="-"/>
    <s v="Expert"/>
  </r>
  <r>
    <n v="20535"/>
    <x v="2"/>
    <n v="7634"/>
    <s v="NITHYA P"/>
    <n v="3874"/>
    <s v="Saravanan"/>
    <d v="2026-02-21T00:00:00"/>
    <s v="NAGMR"/>
    <s v="XML"/>
    <s v="TEAM-02"/>
    <s v="JVAL"/>
    <n v="4566"/>
    <n v="0"/>
    <n v="0"/>
    <n v="0"/>
    <s v="S100"/>
    <s v="SXML"/>
    <x v="0"/>
    <s v="NAGMR-VSI-J-Category-95"/>
    <d v="2026-02-21T17:29:07"/>
    <d v="2026-02-21T17:58:59"/>
    <d v="1899-12-30T00:29:52"/>
    <s v="MS Pages"/>
    <n v="31"/>
    <n v="37"/>
    <d v="1899-12-30T00:50:16"/>
    <n v="0.84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PILOT"/>
    <s v="YMJD"/>
    <n v="20909"/>
    <n v="0"/>
    <n v="0"/>
    <n v="0"/>
    <s v="S100"/>
    <s v="SXML"/>
    <x v="0"/>
    <s v="NAGMR-VSI-J-Category-157"/>
    <d v="2026-02-21T15:20:06"/>
    <d v="2026-02-21T15:32:22"/>
    <d v="1899-12-30T00:12:16"/>
    <s v="MS Pages"/>
    <n v="2"/>
    <n v="37"/>
    <d v="1899-12-30T00:03:14"/>
    <n v="0.05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PILOT"/>
    <s v="YMJD"/>
    <n v="20858"/>
    <n v="0"/>
    <n v="0"/>
    <n v="0"/>
    <s v="S100"/>
    <s v="SXML"/>
    <x v="0"/>
    <s v="NAGMR-VSI-J-Category-157"/>
    <d v="2026-02-21T15:33:00"/>
    <d v="2026-02-21T15:51:24"/>
    <d v="1899-12-30T00:18:24"/>
    <s v="MS Pages"/>
    <n v="6"/>
    <n v="37"/>
    <d v="1899-12-30T00:09:43"/>
    <n v="0.16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TEAM-07"/>
    <s v="NEUROM"/>
    <n v="830"/>
    <n v="0"/>
    <n v="0"/>
    <n v="0"/>
    <s v="S100"/>
    <s v="XMLTAGGING-1"/>
    <x v="0"/>
    <s v="NAGMR-VSI-J-DEFAULT"/>
    <d v="2026-02-21T16:40:21"/>
    <d v="2026-02-21T17:21:10"/>
    <d v="1899-12-30T00:20:37"/>
    <s v="ARTICLE Count"/>
    <n v="1"/>
    <n v="10"/>
    <d v="1899-12-30T00:06:00"/>
    <n v="0.1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TEAM-02"/>
    <s v="JVAL"/>
    <n v="4563"/>
    <n v="0"/>
    <n v="0"/>
    <n v="0"/>
    <s v="S100"/>
    <s v="SXML"/>
    <x v="0"/>
    <s v="NAGMR-VSI-J-Category-95"/>
    <d v="2026-02-21T15:52:28"/>
    <d v="2026-02-21T17:22:33"/>
    <d v="1899-12-30T00:47:51"/>
    <s v="MS Pages"/>
    <n v="43"/>
    <n v="37"/>
    <d v="1899-12-30T01:09:43"/>
    <n v="1.1599999999999999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PILOT"/>
    <s v="JACIG"/>
    <n v="100670"/>
    <n v="0"/>
    <n v="0"/>
    <n v="0"/>
    <s v="S100"/>
    <s v="SXML"/>
    <x v="0"/>
    <s v="NAGMR-VSI-J-Category-123"/>
    <d v="2026-02-21T20:54:25"/>
    <d v="2026-02-21T21:21:10"/>
    <d v="1899-12-30T00:26:45"/>
    <s v="MS Pages"/>
    <n v="32"/>
    <n v="27"/>
    <d v="1899-12-30T01:11:06"/>
    <n v="1.19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TEAM-07"/>
    <s v="JOGC"/>
    <n v="103247"/>
    <n v="0"/>
    <n v="0"/>
    <n v="0"/>
    <s v="S100"/>
    <s v="SXML"/>
    <x v="0"/>
    <s v="NAGMR-VSI-J-Category-86"/>
    <d v="2026-02-21T13:45:52"/>
    <d v="2026-02-21T20:53:05"/>
    <d v="1899-12-30T00:38:08"/>
    <s v="MS Pages"/>
    <n v="26"/>
    <n v="37"/>
    <d v="1899-12-30T00:42:09"/>
    <n v="0.7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PILOT"/>
    <s v="JDCR"/>
    <n v="4351"/>
    <n v="0"/>
    <n v="0"/>
    <n v="0"/>
    <s v="S100"/>
    <s v="SXML"/>
    <x v="0"/>
    <s v="NAGMR-VSI-J-Category-72"/>
    <d v="2026-02-21T19:02:14"/>
    <d v="2026-02-21T19:39:47"/>
    <d v="1899-12-30T00:37:33"/>
    <s v="MS Pages"/>
    <n v="14"/>
    <n v="37"/>
    <d v="1899-12-30T00:22:42"/>
    <n v="0.38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TEAM-02"/>
    <s v="JCJD"/>
    <n v="1941"/>
    <n v="0"/>
    <n v="0"/>
    <n v="0"/>
    <s v="S100"/>
    <s v="SXML"/>
    <x v="0"/>
    <s v="NAGMR-VSI-J-Category-67"/>
    <d v="2026-02-21T19:40:50"/>
    <d v="2026-02-21T20:46:50"/>
    <d v="1899-12-30T00:47:10"/>
    <s v="MS Pages"/>
    <n v="38"/>
    <n v="37"/>
    <d v="1899-12-30T01:01:37"/>
    <n v="1.03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TEAM-02"/>
    <s v="JVAL"/>
    <n v="4564"/>
    <n v="0"/>
    <n v="0"/>
    <n v="0"/>
    <s v="S100"/>
    <s v="SXML"/>
    <x v="0"/>
    <s v="NAGMR-VSI-J-Category-95"/>
    <d v="2026-02-21T17:59:32"/>
    <d v="2026-02-21T19:01:53"/>
    <d v="1899-12-30T00:57:54"/>
    <s v="MS Pages"/>
    <n v="36"/>
    <n v="37"/>
    <d v="1899-12-30T00:58:22"/>
    <n v="0.97"/>
    <s v="VSI"/>
    <d v="1899-12-30T06:40:52"/>
    <s v="NAGMR"/>
    <s v="journals"/>
    <s v="SECOND SHIFT DP WFH"/>
    <s v="SSDWFH"/>
    <d v="1899-12-30T00:38:31"/>
    <s v="Expert"/>
  </r>
  <r>
    <n v="20535"/>
    <x v="2"/>
    <n v="7634"/>
    <s v="NITHYA P"/>
    <n v="3874"/>
    <s v="Saravanan"/>
    <d v="2026-02-21T00:00:00"/>
    <s v="NAGMR"/>
    <s v="XML"/>
    <s v="TEAM-17"/>
    <s v="JAAC"/>
    <n v="5381"/>
    <n v="0"/>
    <n v="0"/>
    <n v="0"/>
    <s v="S100"/>
    <s v="XMLTAGGING-1"/>
    <x v="0"/>
    <s v="NAGMR-VSI-J-Category-50"/>
    <d v="2026-02-21T17:22:40"/>
    <d v="2026-02-21T18:50:19"/>
    <d v="1899-12-30T00:07:01"/>
    <s v="ARTICLE Count"/>
    <n v="1"/>
    <n v="10"/>
    <d v="1899-12-30T00:06:00"/>
    <n v="0.1"/>
    <s v="VSI"/>
    <d v="1899-12-30T06:40:52"/>
    <s v="NAGMR"/>
    <s v="journals"/>
    <s v="SECOND SHIFT DP WFH"/>
    <s v="SSDWFH"/>
    <d v="1899-12-30T00:38:31"/>
    <s v="Expert"/>
  </r>
  <r>
    <n v="20845"/>
    <x v="3"/>
    <n v="22541"/>
    <s v="Senthilraj"/>
    <n v="3874"/>
    <s v="Saravanan"/>
    <d v="2026-02-21T00:00:00"/>
    <s v="NAGMR"/>
    <s v="XML"/>
    <s v="TEAM-18"/>
    <s v="YMSY"/>
    <n v="110138"/>
    <n v="0"/>
    <n v="0"/>
    <n v="0"/>
    <s v="S5"/>
    <s v="PROCESSTUDXML"/>
    <x v="0"/>
    <s v="NAGMR-CBE-J-Category-123"/>
    <d v="2026-02-21T08:35:48"/>
    <d v="2026-02-21T09:27:18"/>
    <d v="1899-12-30T00:51:30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37"/>
    <n v="0"/>
    <n v="0"/>
    <n v="0"/>
    <s v="S100"/>
    <s v="PREEDIT"/>
    <x v="0"/>
    <s v="NAGMR-CBE-J-Category-123"/>
    <d v="2026-02-21T08:30:41"/>
    <d v="2026-02-21T08:35:37"/>
    <d v="1899-12-30T00:04:56"/>
    <s v="MS Pages"/>
    <n v="27"/>
    <n v="90"/>
    <d v="1899-12-30T00:18:00"/>
    <n v="0.3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42"/>
    <n v="0"/>
    <n v="0"/>
    <n v="0"/>
    <s v="S100"/>
    <s v="PREEDIT"/>
    <x v="0"/>
    <s v="NAGMR-CBE-J-Category-123"/>
    <d v="2026-02-21T10:28:40"/>
    <d v="2026-02-21T10:33:00"/>
    <d v="1899-12-30T00:04:20"/>
    <s v="MS Pages"/>
    <n v="34"/>
    <n v="90"/>
    <d v="1899-12-30T00:22:39"/>
    <n v="0.38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44"/>
    <n v="0"/>
    <n v="0"/>
    <n v="0"/>
    <s v="S100"/>
    <s v="PREEDIT"/>
    <x v="0"/>
    <s v="NAGMR-CBE-J-Category-123"/>
    <d v="2026-02-21T13:42:23"/>
    <d v="2026-02-21T13:48:29"/>
    <d v="1899-12-30T00:06:06"/>
    <s v="MS Pages"/>
    <n v="21"/>
    <n v="90"/>
    <d v="1899-12-30T00:14:00"/>
    <n v="0.23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3"/>
    <s v="XOPS"/>
    <n v="101128"/>
    <n v="0"/>
    <n v="0"/>
    <n v="0"/>
    <s v="S5"/>
    <s v="TUDCREATION"/>
    <x v="0"/>
    <s v="NAGMR-CBE-J-Category-123"/>
    <d v="2026-02-21T11:34:29"/>
    <d v="2026-02-21T12:28:22"/>
    <d v="1899-12-30T00:53:53"/>
    <s v="ARTICLE Count"/>
    <n v="1"/>
    <n v="4"/>
    <d v="1899-12-30T00:15:00"/>
    <n v="0.2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44"/>
    <n v="0"/>
    <n v="0"/>
    <n v="0"/>
    <s v="S5"/>
    <s v="PROCESSTUDXML"/>
    <x v="0"/>
    <s v="NAGMR-CBE-J-Category-123"/>
    <d v="2026-02-21T12:40:08"/>
    <d v="2026-02-21T13:42:16"/>
    <d v="1899-12-30T00:34:26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3"/>
    <s v="XOPS"/>
    <n v="101128"/>
    <n v="0"/>
    <n v="0"/>
    <n v="0"/>
    <s v="S100"/>
    <s v="PREEDIT"/>
    <x v="0"/>
    <s v="NAGMR-CBE-J-Category-123"/>
    <d v="2026-02-21T12:28:28"/>
    <d v="2026-02-21T12:39:50"/>
    <d v="1899-12-30T00:11:22"/>
    <s v="MS Pages"/>
    <n v="38"/>
    <n v="90"/>
    <d v="1899-12-30T00:25:20"/>
    <n v="0.42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38"/>
    <n v="0"/>
    <n v="0"/>
    <n v="0"/>
    <s v="S100"/>
    <s v="PREEDIT"/>
    <x v="0"/>
    <s v="NAGMR-CBE-J-Category-123"/>
    <d v="2026-02-21T09:27:23"/>
    <d v="2026-02-21T09:32:09"/>
    <d v="1899-12-30T00:04:46"/>
    <s v="MS Pages"/>
    <n v="21"/>
    <n v="90"/>
    <d v="1899-12-30T00:14:00"/>
    <n v="0.23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06"/>
    <s v="JCE"/>
    <n v="112202"/>
    <n v="0"/>
    <n v="0"/>
    <n v="0"/>
    <s v="S5"/>
    <s v="PROCESSTUDXML"/>
    <x v="0"/>
    <s v="NAGMR-CBE-J-Category-123"/>
    <d v="2026-02-21T06:54:18"/>
    <d v="2026-02-21T07:28:27"/>
    <d v="1899-12-30T00:34:09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36"/>
    <n v="0"/>
    <n v="0"/>
    <n v="0"/>
    <s v="S5"/>
    <s v="PROCESSTUDXML"/>
    <x v="0"/>
    <s v="NAGMR-CBE-J-Category-123"/>
    <d v="2026-02-21T07:28:31"/>
    <d v="2026-02-21T08:04:39"/>
    <d v="1899-12-30T00:36:08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06"/>
    <s v="JCE"/>
    <n v="112200"/>
    <n v="0"/>
    <n v="0"/>
    <n v="0"/>
    <s v="S5"/>
    <s v="PROCESSTUDXML"/>
    <x v="0"/>
    <s v="NAGMR-CBE-J-Category-123"/>
    <d v="2026-02-21T05:56:55"/>
    <d v="2026-02-21T06:43:47"/>
    <d v="1899-12-30T00:46:52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06"/>
    <s v="JCE"/>
    <n v="112200"/>
    <n v="0"/>
    <n v="0"/>
    <n v="0"/>
    <s v="S100"/>
    <s v="PREEDIT"/>
    <x v="0"/>
    <s v="NAGMR-CBE-J-Category-123"/>
    <d v="2026-02-21T06:43:55"/>
    <d v="2026-02-21T06:54:13"/>
    <d v="1899-12-30T00:10:18"/>
    <s v="MS Pages"/>
    <n v="18"/>
    <n v="90"/>
    <d v="1899-12-30T00:12:00"/>
    <n v="0.2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36"/>
    <n v="0"/>
    <n v="0"/>
    <n v="0"/>
    <s v="S100"/>
    <s v="PREEDIT"/>
    <x v="0"/>
    <s v="NAGMR-CBE-J-Category-123"/>
    <d v="2026-02-21T08:04:46"/>
    <d v="2026-02-21T08:09:11"/>
    <d v="1899-12-30T00:04:25"/>
    <s v="MS Pages"/>
    <n v="17"/>
    <n v="90"/>
    <d v="1899-12-30T00:11:19"/>
    <n v="0.19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37"/>
    <n v="0"/>
    <n v="0"/>
    <n v="0"/>
    <s v="S5"/>
    <s v="PROCESSTUDXML"/>
    <x v="0"/>
    <s v="NAGMR-CBE-J-Category-123"/>
    <d v="2026-02-21T08:09:15"/>
    <d v="2026-02-21T08:30:36"/>
    <d v="1899-12-30T00:21:21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42"/>
    <n v="0"/>
    <n v="0"/>
    <n v="0"/>
    <s v="S5"/>
    <s v="PROCESSTUDXML"/>
    <x v="0"/>
    <s v="NAGMR-CBE-J-Category-123"/>
    <d v="2026-02-21T09:40:37"/>
    <d v="2026-02-21T10:28:31"/>
    <d v="1899-12-30T00:47:54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45"/>
    <x v="3"/>
    <n v="22541"/>
    <s v="Senthilraj"/>
    <n v="3874"/>
    <s v="Saravanan"/>
    <d v="2026-02-21T00:00:00"/>
    <s v="NAGMR"/>
    <s v="XML"/>
    <s v="TEAM-18"/>
    <s v="YMSY"/>
    <n v="110143"/>
    <n v="0"/>
    <n v="0"/>
    <n v="0"/>
    <s v="S5"/>
    <s v="PROCESSTUDXML"/>
    <x v="0"/>
    <s v="NAGMR-CBE-J-Category-123"/>
    <d v="2026-02-21T10:33:07"/>
    <d v="2026-02-21T11:34:13"/>
    <d v="1899-12-30T01:01:06"/>
    <s v="ARTICLE Count"/>
    <n v="1"/>
    <n v="2"/>
    <d v="1899-12-30T00:30:00"/>
    <n v="0.5"/>
    <s v="CBE"/>
    <d v="1899-12-30T06:12:18"/>
    <s v="NAGMR"/>
    <s v="journals"/>
    <s v="SECOND SHIFT DP WFH"/>
    <s v="SSDWFH"/>
    <d v="1899-12-30T00:26:22"/>
    <s v="Expert"/>
  </r>
  <r>
    <n v="20885"/>
    <x v="4"/>
    <n v="4175"/>
    <s v="Dhanasekar K"/>
    <n v="3874"/>
    <s v="Saravanan"/>
    <d v="2026-02-21T00:00:00"/>
    <s v="NAGMR"/>
    <s v="XML"/>
    <s v="TEAM-16"/>
    <s v="JACBTS"/>
    <n v="101517"/>
    <n v="0"/>
    <n v="0"/>
    <n v="0"/>
    <s v="S100"/>
    <s v="SXML"/>
    <x v="0"/>
    <s v="NAGMR-VSI-J-Category-53"/>
    <d v="2026-02-21T06:53:54"/>
    <d v="2026-02-21T07:02:17"/>
    <d v="1899-12-30T00:08:23"/>
    <s v="MS Pages"/>
    <n v="5"/>
    <n v="37"/>
    <d v="1899-12-30T00:08:06"/>
    <n v="0.14000000000000001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7"/>
    <s v="CHEST"/>
    <n v="7322"/>
    <n v="0"/>
    <n v="0"/>
    <n v="0"/>
    <s v="S100"/>
    <s v="SXML"/>
    <x v="0"/>
    <s v="NAGMR-VSI-J-Category-24"/>
    <d v="2026-02-20T08:02:33"/>
    <d v="2026-02-21T06:39:48"/>
    <d v="1899-12-30T00:43:49"/>
    <s v="MS Pages"/>
    <n v="42"/>
    <n v="37"/>
    <d v="1899-12-30T01:08:06"/>
    <n v="1.1399999999999999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CIN"/>
    <n v="8668"/>
    <n v="0"/>
    <n v="0"/>
    <n v="0"/>
    <s v="S100"/>
    <s v="SXML"/>
    <x v="0"/>
    <s v="NAGMR-VSI-J-Category-66"/>
    <d v="2026-02-21T08:16:09"/>
    <d v="2026-02-21T08:34:32"/>
    <d v="1899-12-30T00:18:23"/>
    <s v="MS Pages"/>
    <n v="4"/>
    <n v="37"/>
    <d v="1899-12-30T00:06:29"/>
    <n v="0.11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ACBTS"/>
    <n v="101516"/>
    <n v="0"/>
    <n v="0"/>
    <n v="0"/>
    <s v="S100"/>
    <s v="SXML"/>
    <x v="0"/>
    <s v="NAGMR-VSI-J-Category-53"/>
    <d v="2026-02-21T06:48:00"/>
    <d v="2026-02-21T06:53:49"/>
    <d v="1899-12-30T00:05:49"/>
    <s v="MS Pages"/>
    <n v="4"/>
    <n v="37"/>
    <d v="1899-12-30T00:06:29"/>
    <n v="0.11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7"/>
    <s v="CHSTCC"/>
    <n v="100248"/>
    <n v="0"/>
    <n v="0"/>
    <n v="0"/>
    <s v="S100"/>
    <s v="SXML"/>
    <x v="0"/>
    <s v="NAGMR-VSI-J-Category-24"/>
    <d v="2026-02-21T06:40:09"/>
    <d v="2026-02-21T06:47:55"/>
    <d v="1899-12-30T00:07:46"/>
    <s v="MS Pages"/>
    <n v="5"/>
    <n v="37"/>
    <d v="1899-12-30T00:08:06"/>
    <n v="0.14000000000000001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ACBTS"/>
    <n v="101513"/>
    <n v="0"/>
    <n v="0"/>
    <n v="0"/>
    <s v="S100"/>
    <s v="SXML"/>
    <x v="0"/>
    <s v="NAGMR-VSI-J-Category-53"/>
    <d v="2026-02-21T07:02:22"/>
    <d v="2026-02-21T07:14:59"/>
    <d v="1899-12-30T00:12:37"/>
    <s v="MS Pages"/>
    <n v="6"/>
    <n v="37"/>
    <d v="1899-12-30T00:09:43"/>
    <n v="0.16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7"/>
    <s v="CHEST"/>
    <n v="7330"/>
    <n v="0"/>
    <n v="0"/>
    <n v="0"/>
    <s v="S100"/>
    <s v="SXML"/>
    <x v="0"/>
    <s v="NAGMR-VSI-J-Category-24"/>
    <d v="2026-02-21T12:08:57"/>
    <d v="2026-02-21T13:26:15"/>
    <d v="1899-12-30T00:41:23"/>
    <s v="MS Pages"/>
    <n v="31"/>
    <n v="37"/>
    <d v="1899-12-30T00:50:16"/>
    <n v="0.84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CIN"/>
    <n v="8647"/>
    <n v="0"/>
    <n v="0"/>
    <n v="0"/>
    <s v="S100"/>
    <s v="SXML"/>
    <x v="0"/>
    <s v="NAGMR-VSI-J-Category-66"/>
    <d v="2026-02-21T13:26:34"/>
    <d v="2026-02-21T13:44:34"/>
    <d v="1899-12-30T00:18:00"/>
    <s v="MS Pages"/>
    <n v="7"/>
    <n v="37"/>
    <d v="1899-12-30T00:11:21"/>
    <n v="0.19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AC"/>
    <n v="33016"/>
    <n v="0"/>
    <n v="0"/>
    <n v="0"/>
    <s v="S100"/>
    <s v="SXML"/>
    <x v="0"/>
    <s v="NAGMR-VSI-J-Category-51"/>
    <d v="2026-02-21T10:18:53"/>
    <d v="2026-02-21T10:22:53"/>
    <d v="1899-12-30T00:04:00"/>
    <s v="MS Pages"/>
    <n v="9"/>
    <n v="37"/>
    <d v="1899-12-30T00:05:07"/>
    <n v="0.24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07"/>
    <s v="JTHA"/>
    <n v="1400"/>
    <n v="0"/>
    <n v="0"/>
    <n v="0"/>
    <s v="S100"/>
    <s v="SXML"/>
    <x v="0"/>
    <s v="NAGMR-VSI-J-Category-9"/>
    <d v="2026-02-17T12:44:20"/>
    <d v="2026-02-21T06:31:58"/>
    <d v="1899-12-30T01:08:29"/>
    <s v="MS Pages"/>
    <n v="30"/>
    <n v="37"/>
    <d v="1899-12-30T00:48:38"/>
    <n v="0.81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AC"/>
    <n v="33022"/>
    <n v="0"/>
    <n v="0"/>
    <n v="0"/>
    <s v="S100"/>
    <s v="SXML"/>
    <x v="0"/>
    <s v="NAGMR-VSI-J-Category-51"/>
    <d v="2026-02-21T07:34:15"/>
    <d v="2026-02-21T08:16:03"/>
    <d v="1899-12-30T00:41:48"/>
    <s v="MS Pages"/>
    <n v="36"/>
    <n v="37"/>
    <d v="1899-12-30T00:58:22"/>
    <n v="0.97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ACBTS"/>
    <n v="101514"/>
    <n v="0"/>
    <n v="0"/>
    <n v="0"/>
    <s v="S100"/>
    <s v="SXML"/>
    <x v="0"/>
    <s v="NAGMR-VSI-J-Category-53"/>
    <d v="2026-02-21T10:24:24"/>
    <d v="2026-02-21T10:42:51"/>
    <d v="1899-12-30T00:18:27"/>
    <s v="MS Pages"/>
    <n v="36"/>
    <n v="37"/>
    <d v="1899-12-30T00:58:22"/>
    <n v="0.97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AC"/>
    <n v="33019"/>
    <n v="0"/>
    <n v="0"/>
    <n v="0"/>
    <s v="S100"/>
    <s v="SXML"/>
    <x v="0"/>
    <s v="NAGMR-VSI-J-Category-51"/>
    <d v="2026-02-21T10:43:11"/>
    <d v="2026-02-21T11:14:11"/>
    <d v="1899-12-30T00:31:00"/>
    <s v="MS Pages"/>
    <n v="52"/>
    <n v="37"/>
    <d v="1899-12-30T01:24:19"/>
    <n v="1.41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7"/>
    <s v="TJNP"/>
    <n v="105760"/>
    <n v="0"/>
    <n v="0"/>
    <n v="0"/>
    <s v="RSVP"/>
    <s v="XML"/>
    <x v="0"/>
    <s v="NAGMR-VSI-J-Category-122"/>
    <d v="2026-02-21T12:17:04"/>
    <d v="2026-02-21T12:30:01"/>
    <d v="1899-12-30T00:12:57"/>
    <s v="MS Pages"/>
    <n v="2"/>
    <n v="20"/>
    <d v="1899-12-30T00:06:00"/>
    <n v="0.1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ACBTS"/>
    <n v="101515"/>
    <n v="0"/>
    <n v="0"/>
    <n v="0"/>
    <s v="S100"/>
    <s v="SXML"/>
    <x v="0"/>
    <s v="NAGMR-VSI-J-Category-53"/>
    <d v="2026-02-21T11:41:33"/>
    <d v="2026-02-21T11:47:55"/>
    <d v="1899-12-30T00:06:22"/>
    <s v="MS Pages"/>
    <n v="3"/>
    <n v="37"/>
    <d v="1899-12-30T00:07:50"/>
    <n v="0.08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7"/>
    <s v="CHEST"/>
    <n v="7328"/>
    <n v="0"/>
    <n v="0"/>
    <n v="0"/>
    <s v="S100"/>
    <s v="SXML"/>
    <x v="0"/>
    <s v="NAGMR-VSI-J-Category-24"/>
    <d v="2026-02-21T11:14:39"/>
    <d v="2026-02-21T12:08:02"/>
    <d v="1899-12-30T00:46:44"/>
    <s v="MS Pages"/>
    <n v="12"/>
    <n v="37"/>
    <d v="1899-12-30T00:19:27"/>
    <n v="0.32"/>
    <s v="VSI"/>
    <d v="1899-12-30T07:48:02"/>
    <s v="NAGMR"/>
    <s v="journals"/>
    <s v="FIRST SHIFT DP WFH"/>
    <s v="FSDWFH"/>
    <d v="1899-12-30T00:21:54"/>
    <s v="Expert"/>
  </r>
  <r>
    <n v="20885"/>
    <x v="4"/>
    <n v="4175"/>
    <s v="Dhanasekar K"/>
    <n v="3874"/>
    <s v="Saravanan"/>
    <d v="2026-02-21T00:00:00"/>
    <s v="NAGMR"/>
    <s v="XML"/>
    <s v="TEAM-16"/>
    <s v="JCIN"/>
    <n v="8669"/>
    <n v="0"/>
    <n v="0"/>
    <n v="0"/>
    <s v="S100"/>
    <s v="SXML"/>
    <x v="0"/>
    <s v="NAGMR-VSI-J-Category-66"/>
    <d v="2026-02-21T08:34:37"/>
    <d v="2026-02-21T08:53:45"/>
    <d v="1899-12-30T00:19:08"/>
    <s v="MS Pages"/>
    <n v="7"/>
    <n v="37"/>
    <d v="1899-12-30T00:11:21"/>
    <n v="0.19"/>
    <s v="VSI"/>
    <d v="1899-12-30T07:48:02"/>
    <s v="NAGMR"/>
    <s v="journals"/>
    <s v="FIRST SHIFT DP WFH"/>
    <s v="FSDWFH"/>
    <d v="1899-12-30T00:21:54"/>
    <s v="Expert"/>
  </r>
  <r>
    <n v="21151"/>
    <x v="5"/>
    <n v="7634"/>
    <s v="NITHYA P"/>
    <n v="3874"/>
    <s v="Saravanan"/>
    <d v="2026-02-21T00:00:00"/>
    <s v="NAGMR"/>
    <s v="XML"/>
    <s v="TEAM-20"/>
    <s v="BICT"/>
    <n v="100040"/>
    <n v="0"/>
    <n v="0"/>
    <n v="0"/>
    <s v="S100"/>
    <s v="XML"/>
    <x v="0"/>
    <s v="NAGMR-VSI-J-DEFAULT"/>
    <d v="2026-02-21T11:24:06"/>
    <d v="2026-02-21T11:58:50"/>
    <d v="1899-12-30T00:33:32"/>
    <s v="MS Pages"/>
    <n v="24"/>
    <n v="30"/>
    <d v="1899-12-30T00:48:00"/>
    <n v="0.8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VTH"/>
    <n v="100146"/>
    <n v="0"/>
    <n v="0"/>
    <n v="0"/>
    <s v="S100"/>
    <s v="SXML"/>
    <x v="0"/>
    <s v="NAGMR-VSI-J-Category-123"/>
    <d v="2026-02-21T10:10:20"/>
    <d v="2026-02-21T11:01:17"/>
    <d v="1899-12-30T00:50:57"/>
    <s v="MS Pages"/>
    <n v="20"/>
    <n v="27"/>
    <d v="1899-12-30T00:44:26"/>
    <n v="0.74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ICT"/>
    <n v="100041"/>
    <n v="0"/>
    <n v="0"/>
    <n v="0"/>
    <s v="S100"/>
    <s v="XML"/>
    <x v="0"/>
    <s v="NAGMR-VSI-J-DEFAULT"/>
    <d v="2026-02-21T09:01:40"/>
    <d v="2026-02-21T09:36:39"/>
    <d v="1899-12-30T00:34:59"/>
    <s v="MS Pages"/>
    <n v="7"/>
    <n v="30"/>
    <d v="1899-12-30T00:14:00"/>
    <n v="0.23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RCI"/>
    <n v="100061"/>
    <n v="0"/>
    <n v="0"/>
    <n v="0"/>
    <s v="S100"/>
    <s v="XML"/>
    <x v="0"/>
    <s v="NAGMR-VSI-J-DEFAULT"/>
    <d v="2026-02-21T09:37:01"/>
    <d v="2026-02-21T10:10:12"/>
    <d v="1899-12-30T00:33:11"/>
    <s v="MS Pages"/>
    <n v="29"/>
    <n v="30"/>
    <d v="1899-12-30T00:58:00"/>
    <n v="0.97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LOODA"/>
    <n v="3888"/>
    <n v="0"/>
    <n v="0"/>
    <n v="0"/>
    <s v="S100"/>
    <s v="SXML"/>
    <x v="0"/>
    <s v="NAGMR-VSI-J-Category-123"/>
    <d v="2026-02-21T07:12:34"/>
    <d v="2026-02-21T09:01:31"/>
    <d v="1899-12-30T01:22:16"/>
    <s v="MS Pages"/>
    <n v="28"/>
    <n v="27"/>
    <d v="1899-12-30T01:02:13"/>
    <n v="1.04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LOODA"/>
    <n v="3892"/>
    <n v="0"/>
    <n v="0"/>
    <n v="0"/>
    <s v="S100"/>
    <s v="SXML"/>
    <x v="0"/>
    <s v="NAGMR-VSI-J-Category-123"/>
    <d v="2026-02-21T13:34:27"/>
    <d v="2026-02-21T13:49:27"/>
    <d v="1899-12-30T00:15:00"/>
    <s v="MS Pages"/>
    <n v="7"/>
    <n v="27"/>
    <d v="1899-12-30T00:15:33"/>
    <n v="0.26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LOOD"/>
    <n v="3964"/>
    <n v="0"/>
    <n v="0"/>
    <n v="0"/>
    <s v="S100"/>
    <s v="SXML"/>
    <x v="0"/>
    <s v="NAGMR-VSI-J-Category-20"/>
    <d v="2026-02-21T11:59:43"/>
    <d v="2026-02-21T12:39:14"/>
    <d v="1899-12-30T00:39:31"/>
    <s v="MS Pages"/>
    <n v="30"/>
    <n v="37"/>
    <d v="1899-12-30T00:48:38"/>
    <n v="0.81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LOOD"/>
    <n v="3967"/>
    <n v="0"/>
    <n v="0"/>
    <n v="0"/>
    <s v="S100"/>
    <s v="SXML"/>
    <x v="0"/>
    <s v="NAGMR-VSI-J-Category-20"/>
    <d v="2026-02-21T06:24:42"/>
    <d v="2026-02-21T06:46:12"/>
    <d v="1899-12-30T00:21:30"/>
    <s v="MS Pages"/>
    <n v="1"/>
    <n v="37"/>
    <d v="1899-12-30T00:01:37"/>
    <n v="0.03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07"/>
    <s v="ANNONC"/>
    <n v="2072"/>
    <n v="37"/>
    <n v="5"/>
    <n v="0"/>
    <s v="S100"/>
    <s v="XML-GRA-SUPPORT-2"/>
    <x v="0"/>
    <s v="NAGMR-VSI-J-Category-9"/>
    <d v="2026-02-21T07:09:41"/>
    <d v="2026-02-21T11:41:18"/>
    <d v="1899-12-30T00:03:51"/>
    <s v="ARTICLE Count"/>
    <n v="1"/>
    <n v="30"/>
    <d v="1899-12-30T00:02:00"/>
    <n v="0.03"/>
    <s v="VSI"/>
    <d v="1899-12-30T06:16:40"/>
    <s v="NAGMR"/>
    <s v="journals"/>
    <s v="FIRST SHIFT DP WFH"/>
    <s v="FSDWFH"/>
    <d v="1899-12-30T00:25:23"/>
    <s v="Expert"/>
  </r>
  <r>
    <n v="21151"/>
    <x v="5"/>
    <n v="7634"/>
    <s v="NITHYA P"/>
    <n v="3874"/>
    <s v="Saravanan"/>
    <d v="2026-02-21T00:00:00"/>
    <s v="NAGMR"/>
    <s v="XML"/>
    <s v="TEAM-20"/>
    <s v="BLOODA"/>
    <n v="3797"/>
    <n v="0"/>
    <n v="0"/>
    <n v="0"/>
    <s v="S100"/>
    <s v="SXML"/>
    <x v="0"/>
    <s v="NAGMR-VSI-J-Category-123"/>
    <d v="2026-02-21T06:46:57"/>
    <d v="2026-02-21T07:09:24"/>
    <d v="1899-12-30T00:22:27"/>
    <s v="MS Pages"/>
    <n v="37"/>
    <n v="27"/>
    <d v="1899-12-30T01:22:13"/>
    <n v="1.37"/>
    <s v="VSI"/>
    <d v="1899-12-30T06:16:40"/>
    <s v="NAGMR"/>
    <s v="journals"/>
    <s v="FIRST SHIFT DP WFH"/>
    <s v="FSDWFH"/>
    <d v="1899-12-30T00:25:23"/>
    <s v="Expert"/>
  </r>
  <r>
    <n v="22279"/>
    <x v="6"/>
    <n v="7634"/>
    <s v="NITHYA P"/>
    <n v="3874"/>
    <s v="Saravanan"/>
    <d v="2026-02-21T00:00:00"/>
    <s v="NAGMR"/>
    <s v="XML"/>
    <s v="TEAM-16"/>
    <s v="JACADV"/>
    <n v="102663"/>
    <n v="0"/>
    <n v="0"/>
    <n v="0"/>
    <s v="S5"/>
    <s v="PROCESSTUDXML"/>
    <x v="0"/>
    <s v="NAGMR-VSI-J-Category-52"/>
    <d v="2026-02-21T12:13:18"/>
    <d v="2026-02-21T12:36:21"/>
    <d v="1899-12-30T00:23:03"/>
    <s v="ARTICLE Count"/>
    <n v="1"/>
    <n v="2"/>
    <d v="1899-12-30T00:30:00"/>
    <n v="0.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YMJD"/>
    <n v="20936"/>
    <n v="0"/>
    <n v="0"/>
    <n v="0"/>
    <s v="S5"/>
    <s v="TUDCREATION"/>
    <x v="0"/>
    <s v="NAGMR-VSI-J-Category-157"/>
    <d v="2026-02-21T14:42:08"/>
    <d v="2026-02-21T14:48:42"/>
    <d v="1899-12-30T00:06:34"/>
    <s v="ARTICLE Count"/>
    <n v="1"/>
    <n v="3"/>
    <d v="1899-12-30T00:20:00"/>
    <n v="0.33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6"/>
    <s v="JACADV"/>
    <n v="102663"/>
    <n v="0"/>
    <n v="0"/>
    <n v="0"/>
    <s v="S100"/>
    <s v="PREEDIT"/>
    <x v="0"/>
    <s v="NAGMR-VSI-J-Category-52"/>
    <d v="2026-02-21T13:36:57"/>
    <d v="2026-02-21T13:46:19"/>
    <d v="1899-12-30T00:09:22"/>
    <s v="MS Pages"/>
    <n v="26"/>
    <n v="60"/>
    <d v="1899-12-30T00:26:00"/>
    <n v="0.43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YMJD"/>
    <n v="20938"/>
    <n v="0"/>
    <n v="0"/>
    <n v="0"/>
    <s v="S5"/>
    <s v="TUDCREATION"/>
    <x v="0"/>
    <s v="NAGMR-VSI-J-Category-157"/>
    <d v="2026-02-21T13:47:14"/>
    <d v="2026-02-21T13:53:57"/>
    <d v="1899-12-30T00:06:43"/>
    <s v="ARTICLE Count"/>
    <n v="1"/>
    <n v="3"/>
    <d v="1899-12-30T00:20:00"/>
    <n v="0.33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8"/>
    <s v="YMOB"/>
    <n v="16679"/>
    <n v="0"/>
    <n v="0"/>
    <n v="0"/>
    <s v="S5"/>
    <s v="TUDCREATION"/>
    <x v="0"/>
    <s v="NAGMR-VSI-J-Category-159"/>
    <d v="2026-02-21T07:23:39"/>
    <d v="2026-02-21T07:31:11"/>
    <d v="1899-12-30T00:07:32"/>
    <s v="ARTICLE Count"/>
    <n v="1"/>
    <n v="2"/>
    <d v="1899-12-30T00:30:00"/>
    <n v="0.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YMJD"/>
    <n v="20937"/>
    <n v="0"/>
    <n v="0"/>
    <n v="0"/>
    <s v="S100"/>
    <s v="PREEDIT"/>
    <x v="0"/>
    <s v="NAGMR-VSI-J-Category-157"/>
    <d v="2026-02-21T14:32:56"/>
    <d v="2026-02-21T14:41:44"/>
    <d v="1899-12-30T00:08:48"/>
    <s v="MS Pages"/>
    <n v="4"/>
    <n v="60"/>
    <d v="1899-12-30T00:04:00"/>
    <n v="7.0000000000000007E-2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YMJD"/>
    <n v="20939"/>
    <n v="0"/>
    <n v="0"/>
    <n v="0"/>
    <s v="S5"/>
    <s v="TUDCREATION"/>
    <x v="0"/>
    <s v="NAGMR-VSI-J-Category-157"/>
    <d v="2026-02-21T10:41:29"/>
    <d v="2026-02-21T10:57:30"/>
    <d v="1899-12-30T00:16:01"/>
    <s v="ARTICLE Count"/>
    <n v="1"/>
    <n v="3"/>
    <d v="1899-12-30T00:20:00"/>
    <n v="0.33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JDRV"/>
    <n v="191"/>
    <n v="0"/>
    <n v="0"/>
    <n v="0"/>
    <s v="S5"/>
    <s v="TUDCREATION"/>
    <x v="0"/>
    <s v="NAGMR-VSI-J-Category-73"/>
    <d v="2026-02-21T14:15:57"/>
    <d v="2026-02-21T14:32:24"/>
    <d v="1899-12-30T00:16:27"/>
    <s v="ARTICLE Count"/>
    <n v="1"/>
    <n v="2"/>
    <d v="1899-12-30T00:30:00"/>
    <n v="0.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6"/>
    <s v="JACADV"/>
    <n v="102661"/>
    <n v="0"/>
    <n v="0"/>
    <n v="0"/>
    <s v="S100"/>
    <s v="PREEDIT"/>
    <x v="0"/>
    <s v="NAGMR-VSI-J-Category-52"/>
    <d v="2026-02-21T10:16:00"/>
    <d v="2026-02-21T10:40:44"/>
    <d v="1899-12-30T00:24:44"/>
    <s v="MS Pages"/>
    <n v="28"/>
    <n v="60"/>
    <d v="1899-12-30T00:28:00"/>
    <n v="0.47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8"/>
    <s v="YMOB"/>
    <n v="16678"/>
    <n v="0"/>
    <n v="0"/>
    <n v="0"/>
    <s v="S100"/>
    <s v="PREEDIT"/>
    <x v="0"/>
    <s v="NAGMR-VSI-J-Category-159"/>
    <d v="2026-02-21T07:23:09"/>
    <d v="2026-02-21T12:05:45"/>
    <d v="1899-12-30T00:41:50"/>
    <s v="MS Pages"/>
    <n v="27"/>
    <n v="60"/>
    <d v="1899-12-30T00:27:00"/>
    <n v="0.4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6"/>
    <s v="JACADV"/>
    <n v="102661"/>
    <n v="0"/>
    <n v="0"/>
    <n v="0"/>
    <s v="S5"/>
    <s v="PROCESSTUDXML"/>
    <x v="0"/>
    <s v="NAGMR-VSI-J-Category-52"/>
    <d v="2026-02-21T09:48:48"/>
    <d v="2026-02-21T10:15:41"/>
    <d v="1899-12-30T00:26:53"/>
    <s v="ARTICLE Count"/>
    <n v="1"/>
    <n v="2"/>
    <d v="1899-12-30T00:30:00"/>
    <n v="0.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YMJD"/>
    <n v="20939"/>
    <n v="0"/>
    <n v="0"/>
    <n v="0"/>
    <s v="S100"/>
    <s v="PREEDIT"/>
    <x v="0"/>
    <s v="NAGMR-VSI-J-Category-157"/>
    <d v="2026-02-21T12:06:43"/>
    <d v="2026-02-21T12:12:30"/>
    <d v="1899-12-30T00:05:47"/>
    <s v="MS Pages"/>
    <n v="3"/>
    <n v="60"/>
    <d v="1899-12-30T00:03:00"/>
    <n v="0.0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YMJD"/>
    <n v="20937"/>
    <n v="0"/>
    <n v="0"/>
    <n v="0"/>
    <s v="S5"/>
    <s v="TUDCREATION"/>
    <x v="0"/>
    <s v="NAGMR-VSI-J-Category-157"/>
    <d v="2026-02-21T14:03:45"/>
    <d v="2026-02-21T14:14:20"/>
    <d v="1899-12-30T00:10:35"/>
    <s v="ARTICLE Count"/>
    <n v="1"/>
    <n v="3"/>
    <d v="1899-12-30T00:20:00"/>
    <n v="0.33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6"/>
    <s v="JACADV"/>
    <n v="102665"/>
    <n v="0"/>
    <n v="0"/>
    <n v="0"/>
    <s v="S5"/>
    <s v="PROCESSTUDXML"/>
    <x v="0"/>
    <s v="NAGMR-VSI-J-Category-52"/>
    <d v="2026-02-21T08:28:21"/>
    <d v="2026-02-21T09:20:30"/>
    <d v="1899-12-30T00:24:35"/>
    <s v="ARTICLE Count"/>
    <n v="1"/>
    <n v="2"/>
    <d v="1899-12-30T00:30:00"/>
    <n v="0.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YMJD"/>
    <n v="20938"/>
    <n v="0"/>
    <n v="0"/>
    <n v="0"/>
    <s v="S100"/>
    <s v="PREEDIT"/>
    <x v="0"/>
    <s v="NAGMR-VSI-J-Category-157"/>
    <d v="2026-02-21T13:54:13"/>
    <d v="2026-02-21T14:03:24"/>
    <d v="1899-12-30T00:09:11"/>
    <s v="MS Pages"/>
    <n v="3"/>
    <n v="60"/>
    <d v="1899-12-30T00:03:00"/>
    <n v="0.0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6"/>
    <s v="JACADV"/>
    <n v="102665"/>
    <n v="0"/>
    <n v="0"/>
    <n v="0"/>
    <s v="S100"/>
    <s v="PREEDIT"/>
    <x v="0"/>
    <s v="NAGMR-VSI-J-Category-52"/>
    <d v="2026-02-21T09:21:11"/>
    <d v="2026-02-21T09:48:23"/>
    <d v="1899-12-30T00:27:12"/>
    <s v="MS Pages"/>
    <n v="34"/>
    <n v="60"/>
    <d v="1899-12-30T00:34:00"/>
    <n v="0.56999999999999995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07"/>
    <s v="YMNL"/>
    <n v="102718"/>
    <n v="0"/>
    <n v="0"/>
    <n v="0"/>
    <s v="S100"/>
    <s v="PREEDIT"/>
    <x v="0"/>
    <s v="NAGMR-VSI-J-DEFAULT"/>
    <d v="2026-02-21T06:47:15"/>
    <d v="2026-02-21T07:04:30"/>
    <d v="1899-12-30T00:17:15"/>
    <s v="MS Pages"/>
    <n v="10"/>
    <n v="60"/>
    <d v="1899-12-30T00:10:00"/>
    <n v="0.17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PILOT"/>
    <s v="XJON"/>
    <n v="101690"/>
    <n v="0"/>
    <n v="0"/>
    <n v="0"/>
    <s v="S100"/>
    <s v="PREEDIT"/>
    <x v="0"/>
    <s v="NAGMR-VSI-J-Category-136"/>
    <d v="2026-02-21T06:17:37"/>
    <d v="2026-02-21T13:36:26"/>
    <d v="1899-12-30T01:03:54"/>
    <s v="MS Pages"/>
    <n v="25"/>
    <n v="60"/>
    <d v="1899-12-30T00:25:00"/>
    <n v="0.42"/>
    <s v="VSI"/>
    <d v="1899-12-30T06:44:00"/>
    <s v="NAGMR"/>
    <s v="journals"/>
    <s v="FIRST SHIFT DP WFH"/>
    <s v="FSDWFH"/>
    <d v="1899-12-30T00:25:02"/>
    <s v="Practitioner"/>
  </r>
  <r>
    <n v="22279"/>
    <x v="6"/>
    <n v="7634"/>
    <s v="NITHYA P"/>
    <n v="3874"/>
    <s v="Saravanan"/>
    <d v="2026-02-21T00:00:00"/>
    <s v="NAGMR"/>
    <s v="XML"/>
    <s v="TEAM-18"/>
    <s v="YMOB"/>
    <n v="16679"/>
    <n v="0"/>
    <n v="0"/>
    <n v="0"/>
    <s v="S100"/>
    <s v="PREEDIT"/>
    <x v="0"/>
    <s v="NAGMR-VSI-J-Category-159"/>
    <d v="2026-02-21T07:31:29"/>
    <d v="2026-02-21T08:27:22"/>
    <d v="1899-12-30T00:55:53"/>
    <s v="MS Pages"/>
    <n v="14"/>
    <n v="60"/>
    <d v="1899-12-30T00:14:00"/>
    <n v="0.23"/>
    <s v="VSI"/>
    <d v="1899-12-30T06:44:00"/>
    <s v="NAGMR"/>
    <s v="journals"/>
    <s v="FIRST SHIFT DP WFH"/>
    <s v="FSDWFH"/>
    <d v="1899-12-30T00:25:02"/>
    <s v="Practitioner"/>
  </r>
  <r>
    <n v="22326"/>
    <x v="7"/>
    <n v="4175"/>
    <s v="Dhanasekar K"/>
    <n v="3874"/>
    <s v="Saravanan"/>
    <d v="2026-02-21T00:00:00"/>
    <s v="NAGMR"/>
    <s v="XML"/>
    <s v="TEAM-22"/>
    <s v="XKME"/>
    <n v="101289"/>
    <n v="0"/>
    <n v="0"/>
    <n v="0"/>
    <s v="S100"/>
    <s v="S100ACTXMLERROR"/>
    <x v="0"/>
    <s v="NAGMR-VSI-J-Category-138"/>
    <d v="2026-02-21T20:50:10"/>
    <d v="2026-02-21T20:54:36"/>
    <d v="1899-12-30T00:04:26"/>
    <s v="ARTICLE Count"/>
    <n v="1"/>
    <n v="4"/>
    <d v="1899-12-30T00:15:00"/>
    <n v="0.25"/>
    <s v="VSI"/>
    <d v="1899-12-30T03:25:18"/>
    <s v="NAGMR"/>
    <s v="journals"/>
    <s v="SECOND SHIFT DP WFH"/>
    <s v="SSDWFH"/>
    <d v="1899-12-30T00:31:03"/>
    <s v="Proficient"/>
  </r>
  <r>
    <n v="22326"/>
    <x v="7"/>
    <n v="4175"/>
    <s v="Dhanasekar K"/>
    <n v="3874"/>
    <s v="Saravanan"/>
    <d v="2026-02-21T00:00:00"/>
    <s v="NAGMR"/>
    <s v="XML"/>
    <s v="TEAM-22"/>
    <s v="XKME"/>
    <n v="101289"/>
    <n v="0"/>
    <n v="0"/>
    <n v="0"/>
    <s v="S100"/>
    <s v="SXML"/>
    <x v="0"/>
    <s v="NAGMR-VSI-J-Category-138"/>
    <d v="2026-02-21T16:00:26"/>
    <d v="2026-02-21T18:05:01"/>
    <d v="1899-12-30T01:39:13"/>
    <s v="MS Pages"/>
    <n v="35"/>
    <n v="32"/>
    <d v="1899-12-30T01:05:37"/>
    <n v="1.0900000000000001"/>
    <s v="VSI"/>
    <d v="1899-12-30T03:25:18"/>
    <s v="NAGMR"/>
    <s v="journals"/>
    <s v="SECOND SHIFT DP WFH"/>
    <s v="SSDWFH"/>
    <d v="1899-12-30T00:31:03"/>
    <s v="Proficient"/>
  </r>
  <r>
    <n v="22326"/>
    <x v="7"/>
    <n v="4175"/>
    <s v="Dhanasekar K"/>
    <n v="3874"/>
    <s v="Saravanan"/>
    <d v="2026-02-21T00:00:00"/>
    <s v="NAGMR"/>
    <s v="XML"/>
    <s v="TEAM-22"/>
    <s v="DMD"/>
    <n v="100252"/>
    <n v="0"/>
    <n v="0"/>
    <n v="0"/>
    <s v="S100"/>
    <s v="XML-GRA-SUPPORT-1"/>
    <x v="0"/>
    <s v="NAGMR-VSI-J-Category-123"/>
    <d v="2026-02-21T13:44:15"/>
    <d v="2026-02-21T13:48:33"/>
    <d v="1899-12-30T00:04:18"/>
    <s v="ARTICLE Count"/>
    <n v="1"/>
    <n v="30"/>
    <d v="1899-12-30T00:02:00"/>
    <n v="0.03"/>
    <s v="VSI"/>
    <d v="1899-12-30T03:25:18"/>
    <s v="NAGMR"/>
    <s v="journals"/>
    <s v="SECOND SHIFT DP WFH"/>
    <s v="SSDWFH"/>
    <d v="1899-12-30T00:31:03"/>
    <s v="Proficient"/>
  </r>
  <r>
    <n v="22326"/>
    <x v="7"/>
    <n v="4175"/>
    <s v="Dhanasekar K"/>
    <n v="3874"/>
    <s v="Saravanan"/>
    <d v="2026-02-21T00:00:00"/>
    <s v="NAGMR"/>
    <s v="XML"/>
    <s v="TEAM-22"/>
    <s v="ACEPJO"/>
    <n v="100345"/>
    <n v="0"/>
    <n v="0"/>
    <n v="0"/>
    <s v="S100"/>
    <s v="SXML"/>
    <x v="0"/>
    <s v="NAGMR-VSI-J-Category-123"/>
    <d v="2026-02-21T15:09:32"/>
    <d v="2026-02-21T16:00:02"/>
    <d v="1899-12-30T00:50:30"/>
    <s v="MS Pages"/>
    <n v="27"/>
    <n v="25"/>
    <d v="1899-12-30T00:59:35"/>
    <n v="1.08"/>
    <s v="VSI"/>
    <d v="1899-12-30T03:25:18"/>
    <s v="NAGMR"/>
    <s v="journals"/>
    <s v="SECOND SHIFT DP WFH"/>
    <s v="SSDWFH"/>
    <d v="1899-12-30T00:31:03"/>
    <s v="Proficient"/>
  </r>
  <r>
    <n v="22326"/>
    <x v="7"/>
    <n v="4175"/>
    <s v="Dhanasekar K"/>
    <n v="3874"/>
    <s v="Saravanan"/>
    <d v="2026-02-21T00:00:00"/>
    <s v="NAGMR"/>
    <s v="XML"/>
    <s v="TEAM-22"/>
    <s v="ATS"/>
    <n v="38224"/>
    <n v="0"/>
    <n v="0"/>
    <n v="0"/>
    <s v="S100"/>
    <s v="XML-GRA-SUPPORT-1"/>
    <x v="0"/>
    <s v="NAGMR-VSI-J-Category-12"/>
    <d v="2026-02-21T20:55:09"/>
    <d v="2026-02-21T21:08:03"/>
    <d v="1899-12-30T00:12:54"/>
    <s v="ARTICLE Count"/>
    <n v="1"/>
    <n v="30"/>
    <d v="1899-12-30T00:02:00"/>
    <n v="0.03"/>
    <s v="VSI"/>
    <d v="1899-12-30T03:25:18"/>
    <s v="NAGMR"/>
    <s v="journals"/>
    <s v="SECOND SHIFT DP WFH"/>
    <s v="SSDWFH"/>
    <d v="1899-12-30T00:31:03"/>
    <s v="Proficient"/>
  </r>
  <r>
    <n v="22326"/>
    <x v="7"/>
    <n v="4175"/>
    <s v="Dhanasekar K"/>
    <n v="3874"/>
    <s v="Saravanan"/>
    <d v="2026-02-21T00:00:00"/>
    <s v="NAGMR"/>
    <s v="XML"/>
    <s v="TEAM-22"/>
    <s v="YMEM"/>
    <n v="10721"/>
    <n v="0"/>
    <n v="0"/>
    <n v="0"/>
    <s v="S100"/>
    <s v="SXML"/>
    <x v="0"/>
    <s v="NAGMR-VSI-J-Category-154"/>
    <d v="2026-02-21T19:14:35"/>
    <d v="2026-02-21T20:05:31"/>
    <d v="1899-12-30T00:50:56"/>
    <s v="MS Pages"/>
    <n v="15"/>
    <n v="32"/>
    <d v="1899-12-30T00:32:36"/>
    <n v="0.47"/>
    <s v="VSI"/>
    <d v="1899-12-30T03:25:18"/>
    <s v="NAGMR"/>
    <s v="journals"/>
    <s v="SECOND SHIFT DP WFH"/>
    <s v="SSDWFH"/>
    <d v="1899-12-30T00:31:03"/>
    <s v="Proficient"/>
  </r>
  <r>
    <n v="22326"/>
    <x v="7"/>
    <n v="4175"/>
    <s v="Dhanasekar K"/>
    <n v="3874"/>
    <s v="Saravanan"/>
    <d v="2026-02-21T00:00:00"/>
    <s v="NAGMR"/>
    <s v="XML"/>
    <s v="TEAM-22"/>
    <s v="YAJKD"/>
    <n v="58559"/>
    <n v="0"/>
    <n v="0"/>
    <n v="0"/>
    <s v="S100"/>
    <s v="SXML"/>
    <x v="0"/>
    <s v="NAGMR-VSI-J-Category-143"/>
    <d v="2026-02-21T13:48:56"/>
    <d v="2026-02-21T21:18:08"/>
    <d v="1899-12-30T00:58:49"/>
    <s v="MS Pages"/>
    <n v="12"/>
    <n v="32"/>
    <d v="1899-12-30T00:22:30"/>
    <n v="0.38"/>
    <s v="VSI"/>
    <d v="1899-12-30T03:25:18"/>
    <s v="NAGMR"/>
    <s v="journals"/>
    <s v="SECOND SHIFT DP WFH"/>
    <s v="SSDWFH"/>
    <d v="1899-12-30T00:31:03"/>
    <s v="Proficient"/>
  </r>
  <r>
    <n v="22326"/>
    <x v="7"/>
    <n v="4175"/>
    <s v="Dhanasekar K"/>
    <n v="3874"/>
    <s v="Saravanan"/>
    <d v="2026-02-21T00:00:00"/>
    <s v="NAGMR"/>
    <s v="XML"/>
    <s v="TEAM-22"/>
    <s v="ACEPJO"/>
    <n v="100345"/>
    <n v="0"/>
    <n v="0"/>
    <n v="0"/>
    <s v="S100"/>
    <s v="S100ACTXMLERROR"/>
    <x v="0"/>
    <s v="NAGMR-VSI-J-Category-123"/>
    <d v="2026-02-21T20:38:54"/>
    <d v="2026-02-21T20:49:50"/>
    <d v="1899-12-30T00:10:56"/>
    <s v="ARTICLE Count"/>
    <n v="1"/>
    <n v="10"/>
    <d v="1899-12-30T00:06:00"/>
    <n v="0.1"/>
    <s v="VSI"/>
    <d v="1899-12-30T03:25:18"/>
    <s v="NAGMR"/>
    <s v="journals"/>
    <s v="SECOND SHIFT DP WFH"/>
    <s v="SSDWFH"/>
    <d v="1899-12-30T00:31:03"/>
    <s v="Proficient"/>
  </r>
  <r>
    <n v="22541"/>
    <x v="8"/>
    <n v="3874"/>
    <s v="Saravanan"/>
    <n v="3874"/>
    <s v="Saravanan"/>
    <d v="2026-02-21T00:00:00"/>
    <s v="NAGMR"/>
    <s v="XML"/>
    <s v="TEAM-22"/>
    <s v="JTOCRR"/>
    <n v="100974"/>
    <n v="0"/>
    <n v="0"/>
    <n v="0"/>
    <s v="S100"/>
    <s v="S100ACTXMLERROR"/>
    <x v="0"/>
    <s v="NAGMR-CBE-J-Category-123"/>
    <d v="2026-02-21T11:40:55"/>
    <d v="2026-02-21T12:05:53"/>
    <d v="1899-12-30T00:22:54"/>
    <s v="ARTICLE Count"/>
    <n v="1"/>
    <n v="12"/>
    <d v="1899-12-30T00:05:00"/>
    <n v="0.08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22"/>
    <s v="JTHO"/>
    <n v="103625"/>
    <n v="0"/>
    <n v="0"/>
    <n v="0"/>
    <s v="S100"/>
    <s v="S100ACTXMLERROR"/>
    <x v="0"/>
    <s v="NAGMR-CBE-J-DEFAULT"/>
    <d v="2026-02-21T09:49:18"/>
    <d v="2026-02-21T10:25:54"/>
    <d v="1899-12-30T00:36:36"/>
    <s v="ARTICLE Count"/>
    <n v="1"/>
    <n v="12"/>
    <d v="1899-12-30T00:05:00"/>
    <n v="0.08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22"/>
    <s v="JTOCRR"/>
    <n v="100971"/>
    <n v="0"/>
    <n v="0"/>
    <n v="0"/>
    <s v="S100"/>
    <s v="S100ACTXMLERROR"/>
    <x v="0"/>
    <s v="NAGMR-CBE-J-Category-123"/>
    <d v="2026-02-21T11:19:05"/>
    <d v="2026-02-21T11:49:08"/>
    <d v="1899-12-30T00:11:43"/>
    <s v="ARTICLE Count"/>
    <n v="1"/>
    <n v="12"/>
    <d v="1899-12-30T00:05:00"/>
    <n v="0.08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02"/>
    <s v="FNS"/>
    <n v="35980"/>
    <n v="0"/>
    <n v="0"/>
    <n v="0"/>
    <s v="S100"/>
    <s v="S100ACTXMLERROR"/>
    <x v="0"/>
    <s v="NAGMR-CBE-J-DEFAULT"/>
    <d v="2026-02-21T10:46:15"/>
    <d v="2026-02-21T11:02:15"/>
    <d v="1899-12-30T00:16:00"/>
    <s v="ARTICLE Count"/>
    <n v="1"/>
    <n v="12"/>
    <d v="1899-12-30T00:05:00"/>
    <n v="0.08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13"/>
    <s v="OPHTHA"/>
    <n v="13412"/>
    <n v="0"/>
    <n v="0"/>
    <n v="0"/>
    <s v="S100"/>
    <s v="S100ACTXMLERROR"/>
    <x v="0"/>
    <s v="NAGMR-CBE-J-DEFAULT"/>
    <d v="2026-02-20T09:33:19"/>
    <d v="2026-02-21T11:04:00"/>
    <d v="1899-12-30T00:02:40"/>
    <s v="ARTICLE Count"/>
    <n v="1"/>
    <n v="12"/>
    <d v="1899-12-30T00:05:00"/>
    <n v="0.08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09"/>
    <s v="JAH"/>
    <n v="13197"/>
    <n v="0"/>
    <n v="0"/>
    <n v="0"/>
    <s v="S200"/>
    <s v="CVTCHECK"/>
    <x v="0"/>
    <s v="NAGMR-CBE-J-DEFAULT"/>
    <d v="2026-02-21T10:29:54"/>
    <d v="2026-02-21T10:32:31"/>
    <d v="1899-12-30T00:02:37"/>
    <s v="ARTICLE Count"/>
    <n v="1"/>
    <n v="10"/>
    <d v="1899-12-30T00:06:00"/>
    <n v="0.1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09"/>
    <s v="JAH"/>
    <n v="13201"/>
    <n v="0"/>
    <n v="0"/>
    <n v="0"/>
    <s v="S200"/>
    <s v="CVTCHECK"/>
    <x v="0"/>
    <s v="NAGMR-CBE-J-DEFAULT"/>
    <d v="2026-02-21T10:33:20"/>
    <d v="2026-02-21T10:44:04"/>
    <d v="1899-12-30T00:10:44"/>
    <s v="ARTICLE Count"/>
    <n v="1"/>
    <n v="10"/>
    <d v="1899-12-30T00:06:00"/>
    <n v="0.1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07"/>
    <s v="HLC"/>
    <n v="4521"/>
    <n v="0"/>
    <n v="0"/>
    <n v="0"/>
    <s v="S200"/>
    <s v="CVTCHECK"/>
    <x v="0"/>
    <s v="NAGMR-VSI-J-Category-44"/>
    <d v="2026-02-21T09:23:04"/>
    <d v="2026-02-21T09:57:06"/>
    <d v="1899-12-30T00:34:02"/>
    <s v="ARTICLE Count"/>
    <n v="1"/>
    <n v="10"/>
    <d v="1899-12-30T00:06:00"/>
    <n v="0.1"/>
    <s v="VSI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20"/>
    <s v="BICT"/>
    <n v="100037"/>
    <n v="0"/>
    <n v="0"/>
    <n v="0"/>
    <s v="S100RESUPPLY"/>
    <s v="MCQC"/>
    <x v="0"/>
    <s v="NAGMR-VSI-J-DEFAULT"/>
    <d v="2026-02-21T12:07:12"/>
    <d v="2026-02-21T12:30:17"/>
    <d v="1899-12-30T00:23:05"/>
    <s v="Edits"/>
    <n v="7"/>
    <n v="45"/>
    <d v="1899-12-30T00:09:19"/>
    <n v="0.16"/>
    <s v="VSI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02"/>
    <s v="FNS"/>
    <n v="35970"/>
    <n v="0"/>
    <n v="0"/>
    <n v="0"/>
    <s v="S100"/>
    <s v="S100ACTXMLERROR"/>
    <x v="0"/>
    <s v="NAGMR-CBE-J-DEFAULT"/>
    <d v="2026-02-20T09:43:03"/>
    <d v="2026-02-21T11:18:55"/>
    <d v="1899-12-30T00:19:49"/>
    <s v="ARTICLE Count"/>
    <n v="1"/>
    <n v="12"/>
    <d v="1899-12-30T00:05:00"/>
    <n v="0.08"/>
    <s v="CBE"/>
    <d v="1899-12-30T01:02:19"/>
    <s v="NAGMR"/>
    <s v="journals"/>
    <s v="GENERAL SHIFT NP WFO"/>
    <s v="GSNWFO"/>
    <s v="-"/>
    <s v="Expert"/>
  </r>
  <r>
    <n v="22541"/>
    <x v="8"/>
    <n v="3874"/>
    <s v="Saravanan"/>
    <n v="3874"/>
    <s v="Saravanan"/>
    <d v="2026-02-21T00:00:00"/>
    <s v="NAGMR"/>
    <s v="XML"/>
    <s v="TEAM-22"/>
    <s v="JTOCRR"/>
    <n v="100975"/>
    <n v="0"/>
    <n v="0"/>
    <n v="0"/>
    <s v="S100"/>
    <s v="S100ACTXMLERROR"/>
    <x v="0"/>
    <s v="NAGMR-CBE-J-Category-123"/>
    <d v="2026-02-21T11:05:05"/>
    <d v="2026-02-21T11:17:21"/>
    <d v="1899-12-30T00:12:16"/>
    <s v="ARTICLE Count"/>
    <n v="1"/>
    <n v="12"/>
    <d v="1899-12-30T00:05:00"/>
    <n v="0.08"/>
    <s v="CBE"/>
    <d v="1899-12-30T01:02:19"/>
    <s v="NAGMR"/>
    <s v="journals"/>
    <s v="GENERAL SHIFT NP WFO"/>
    <s v="GSNWFO"/>
    <s v="-"/>
    <s v="Expert"/>
  </r>
  <r>
    <n v="22602"/>
    <x v="9"/>
    <n v="22541"/>
    <s v="Senthilraj"/>
    <n v="3874"/>
    <s v="Saravanan"/>
    <d v="2026-02-21T00:00:00"/>
    <s v="NAGMR"/>
    <s v="XML"/>
    <s v="TEAM-18"/>
    <s v="YMSY"/>
    <n v="110148"/>
    <n v="0"/>
    <n v="0"/>
    <n v="0"/>
    <s v="S5"/>
    <s v="PROCESSTUDXML"/>
    <x v="0"/>
    <s v="NAGMR-CBE-J-Category-123"/>
    <d v="2026-02-21T19:06:18"/>
    <d v="2026-02-21T20:19:55"/>
    <d v="1899-12-30T01:13:37"/>
    <s v="ARTICLE Count"/>
    <n v="1"/>
    <n v="2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8"/>
    <s v="YMSY"/>
    <n v="110141"/>
    <n v="0"/>
    <n v="0"/>
    <n v="0"/>
    <s v="S5"/>
    <s v="PROCESSTUDXML"/>
    <x v="0"/>
    <s v="NAGMR-CBE-J-Category-123"/>
    <d v="2026-02-21T14:47:30"/>
    <d v="2026-02-21T19:00:16"/>
    <d v="1899-12-30T00:10:19"/>
    <s v="ARTICLE Count"/>
    <n v="1"/>
    <n v="2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08"/>
    <s v="YMOD"/>
    <n v="8370"/>
    <n v="0"/>
    <n v="0"/>
    <n v="0"/>
    <s v="S5"/>
    <s v="TUDCREATION"/>
    <x v="0"/>
    <s v="NAGMR-CBE-J-DEFAULT"/>
    <d v="2026-02-21T21:34:41"/>
    <d v="2026-02-21T21:53:48"/>
    <d v="1899-12-30T00:19:07"/>
    <s v="ARTICLE Count"/>
    <n v="1"/>
    <n v="2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21"/>
    <s v="MCPRO"/>
    <n v="101532"/>
    <n v="0"/>
    <n v="0"/>
    <n v="0"/>
    <s v="S100"/>
    <s v="PREEDIT"/>
    <x v="0"/>
    <s v="NAGMR-CBE-J-Category-123"/>
    <d v="2026-02-19T06:59:14"/>
    <d v="2026-02-21T09:08:08"/>
    <d v="1899-12-30T00:30:44"/>
    <s v="MS Pages"/>
    <n v="35"/>
    <n v="70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8"/>
    <s v="YMSY"/>
    <n v="110148"/>
    <n v="0"/>
    <n v="0"/>
    <n v="0"/>
    <s v="S100"/>
    <s v="PREEDIT"/>
    <x v="0"/>
    <s v="NAGMR-CBE-J-Category-123"/>
    <d v="2026-02-21T20:20:19"/>
    <d v="2026-02-21T20:52:50"/>
    <d v="1899-12-30T00:09:23"/>
    <s v="MS Pages"/>
    <n v="17"/>
    <n v="70"/>
    <d v="1899-12-30T00:14:34"/>
    <n v="0.24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8"/>
    <s v="YMSY"/>
    <n v="110140"/>
    <n v="0"/>
    <n v="0"/>
    <n v="0"/>
    <s v="S100"/>
    <s v="PREEDIT"/>
    <x v="0"/>
    <s v="NAGMR-CBE-J-Category-123"/>
    <d v="2026-02-21T12:40:35"/>
    <d v="2026-02-21T14:47:16"/>
    <d v="1899-12-30T00:20:35"/>
    <s v="MS Pages"/>
    <n v="34"/>
    <n v="70"/>
    <d v="1899-12-30T00:29:08"/>
    <n v="0.49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8"/>
    <s v="YMSY"/>
    <n v="110141"/>
    <n v="0"/>
    <n v="0"/>
    <n v="0"/>
    <s v="S100"/>
    <s v="PREEDIT"/>
    <x v="0"/>
    <s v="NAGMR-CBE-J-Category-123"/>
    <d v="2026-02-21T19:00:34"/>
    <d v="2026-02-21T19:06:03"/>
    <d v="1899-12-30T00:05:29"/>
    <s v="MS Pages"/>
    <n v="10"/>
    <n v="70"/>
    <d v="1899-12-30T00:08:34"/>
    <n v="0.14000000000000001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8"/>
    <s v="SOARD"/>
    <n v="5831"/>
    <n v="0"/>
    <n v="0"/>
    <n v="0"/>
    <s v="S100"/>
    <s v="PREEDIT"/>
    <x v="0"/>
    <s v="NAGMR-CBE-J-DEFAULT"/>
    <d v="2026-02-21T11:07:28"/>
    <d v="2026-02-21T11:19:19"/>
    <d v="1899-12-30T00:11:51"/>
    <s v="MS Pages"/>
    <n v="27"/>
    <n v="60"/>
    <d v="1899-12-30T00:27:00"/>
    <n v="0.4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0"/>
    <s v="YARTH"/>
    <n v="62366"/>
    <n v="0"/>
    <n v="0"/>
    <n v="0"/>
    <s v="S5"/>
    <s v="PROCESSTUDXML"/>
    <x v="0"/>
    <s v="NAGMR-CBE-J-DEFAULT"/>
    <d v="2026-02-21T07:38:22"/>
    <d v="2026-02-21T07:58:30"/>
    <d v="1899-12-30T00:20:08"/>
    <s v="ARTICLE Count"/>
    <n v="1"/>
    <n v="2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8"/>
    <s v="YMSY"/>
    <n v="110140"/>
    <n v="0"/>
    <n v="0"/>
    <n v="0"/>
    <s v="S5"/>
    <s v="PROCESSTUDXML"/>
    <x v="0"/>
    <s v="NAGMR-CBE-J-Category-123"/>
    <d v="2026-02-21T11:19:30"/>
    <d v="2026-02-21T14:43:30"/>
    <d v="1899-12-30T01:24:03"/>
    <s v="ARTICLE Count"/>
    <n v="1"/>
    <n v="2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8"/>
    <s v="SOARD"/>
    <n v="5831"/>
    <n v="0"/>
    <n v="0"/>
    <n v="0"/>
    <s v="S5"/>
    <s v="PROCESSTUDXML"/>
    <x v="0"/>
    <s v="NAGMR-CBE-J-DEFAULT"/>
    <d v="2026-02-21T10:01:06"/>
    <d v="2026-02-21T11:07:05"/>
    <d v="1899-12-30T01:05:59"/>
    <s v="ARTICLE Count"/>
    <n v="1"/>
    <n v="2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10"/>
    <s v="YARTH"/>
    <n v="62366"/>
    <n v="0"/>
    <n v="0"/>
    <n v="0"/>
    <s v="S100"/>
    <s v="PREEDIT"/>
    <x v="0"/>
    <s v="NAGMR-CBE-J-DEFAULT"/>
    <d v="2026-02-21T06:29:58"/>
    <d v="2026-02-21T07:59:53"/>
    <d v="1899-12-30T01:08:39"/>
    <s v="MS Pages"/>
    <n v="26"/>
    <n v="60"/>
    <d v="1899-12-30T00:26:00"/>
    <n v="0.43"/>
    <s v="CBE"/>
    <d v="1899-12-30T05:45:16"/>
    <s v="NAGMR"/>
    <s v="journals"/>
    <s v="FIRST SHIFT DP WFH"/>
    <s v="FSDWFH"/>
    <d v="1899-12-30T00:24:29"/>
    <s v="Practitioner"/>
  </r>
  <r>
    <n v="22602"/>
    <x v="9"/>
    <n v="22541"/>
    <s v="Senthilraj"/>
    <n v="3874"/>
    <s v="Saravanan"/>
    <d v="2026-02-21T00:00:00"/>
    <s v="NAGMR"/>
    <s v="XML"/>
    <s v="TEAM-22"/>
    <s v="JTHO"/>
    <n v="103645"/>
    <n v="0"/>
    <n v="0"/>
    <n v="0"/>
    <s v="S5"/>
    <s v="TUDCREATION"/>
    <x v="0"/>
    <s v="NAGMR-CBE-J-DEFAULT"/>
    <d v="2026-02-21T06:16:48"/>
    <d v="2026-02-21T21:34:02"/>
    <d v="1899-12-30T00:36:18"/>
    <s v="ARTICLE Count"/>
    <n v="1"/>
    <n v="2"/>
    <d v="1899-12-30T00:30:00"/>
    <n v="0.5"/>
    <s v="CBE"/>
    <d v="1899-12-30T05:45:16"/>
    <s v="NAGMR"/>
    <s v="journals"/>
    <s v="FIRST SHIFT DP WFH"/>
    <s v="FSDWFH"/>
    <d v="1899-12-30T00:24:29"/>
    <s v="Practitioner"/>
  </r>
  <r>
    <n v="22720"/>
    <x v="10"/>
    <n v="7634"/>
    <s v="NITHYA P"/>
    <n v="3874"/>
    <s v="Saravanan"/>
    <d v="2026-02-21T00:00:00"/>
    <s v="NAGMR"/>
    <s v="XML"/>
    <s v="TEAM-15"/>
    <s v="JAIP"/>
    <n v="6433"/>
    <n v="0"/>
    <n v="0"/>
    <n v="0"/>
    <s v="S5"/>
    <s v="TUDCREATION"/>
    <x v="0"/>
    <s v="NAGMR-VSI-J-Category-60"/>
    <d v="2026-02-21T15:31:32"/>
    <d v="2026-02-21T15:39:05"/>
    <d v="1899-12-30T00:07:33"/>
    <s v="ARTICLE Count"/>
    <n v="1"/>
    <n v="2"/>
    <d v="1899-12-30T00:30:00"/>
    <n v="0.5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CR"/>
    <n v="2338"/>
    <n v="0"/>
    <n v="0"/>
    <n v="0"/>
    <s v="S100"/>
    <s v="SXML"/>
    <x v="0"/>
    <s v="NAGMR-VSI-J-Category-45"/>
    <d v="2026-02-21T06:30:54"/>
    <d v="2026-02-21T06:56:03"/>
    <d v="1899-12-30T00:25:09"/>
    <s v="MS Pages"/>
    <n v="9"/>
    <n v="27"/>
    <d v="1899-12-30T00:20:00"/>
    <n v="0.33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11"/>
    <s v="LANHL"/>
    <n v="100828"/>
    <n v="0"/>
    <n v="0"/>
    <n v="0"/>
    <s v="S100"/>
    <s v="SXML"/>
    <x v="0"/>
    <s v="NAGMR-VSI-J-Category-123"/>
    <d v="2026-02-21T08:56:34"/>
    <d v="2026-02-21T13:03:55"/>
    <d v="1899-12-30T01:05:22"/>
    <s v="MS Pages"/>
    <n v="17"/>
    <n v="23"/>
    <d v="1899-12-30T00:44:20"/>
    <n v="0.74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OO"/>
    <n v="978"/>
    <n v="0"/>
    <n v="0"/>
    <n v="0"/>
    <s v="S100"/>
    <s v="SXML"/>
    <x v="0"/>
    <s v="NAGMR-VSI-J-Category-46"/>
    <d v="2026-02-21T13:31:25"/>
    <d v="2026-02-21T13:43:15"/>
    <d v="1899-12-30T00:11:50"/>
    <s v="MS Pages"/>
    <n v="5"/>
    <n v="27"/>
    <d v="1899-12-30T00:11:06"/>
    <n v="0.19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OO"/>
    <n v="970"/>
    <n v="0"/>
    <n v="0"/>
    <n v="0"/>
    <s v="S100"/>
    <s v="SXML"/>
    <x v="0"/>
    <s v="NAGMR-VSI-J-Category-46"/>
    <d v="2026-02-21T13:09:37"/>
    <d v="2026-02-21T13:31:16"/>
    <d v="1899-12-30T00:18:29"/>
    <s v="MS Pages"/>
    <n v="6"/>
    <n v="27"/>
    <d v="1899-12-30T00:13:20"/>
    <n v="0.22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11"/>
    <s v="LANMIC"/>
    <n v="101373"/>
    <n v="0"/>
    <n v="0"/>
    <n v="0"/>
    <s v="S100"/>
    <s v="SXML"/>
    <x v="0"/>
    <s v="NAGMR-VSI-J-Category-123"/>
    <d v="2026-02-21T10:31:57"/>
    <d v="2026-02-21T10:51:11"/>
    <d v="1899-12-30T00:14:49"/>
    <s v="MS Pages"/>
    <n v="3"/>
    <n v="23"/>
    <d v="1899-12-30T00:07:49"/>
    <n v="0.13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11"/>
    <s v="LANHL"/>
    <n v="100826"/>
    <n v="0"/>
    <n v="0"/>
    <n v="0"/>
    <s v="S100"/>
    <s v="SXML"/>
    <x v="0"/>
    <s v="NAGMR-VSI-J-Category-123"/>
    <d v="2026-02-21T10:46:37"/>
    <d v="2026-02-21T13:09:28"/>
    <d v="1899-12-30T01:16:34"/>
    <s v="MS Pages"/>
    <n v="15"/>
    <n v="23"/>
    <d v="1899-12-30T00:39:07"/>
    <n v="0.65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OO"/>
    <n v="973"/>
    <n v="0"/>
    <n v="0"/>
    <n v="0"/>
    <s v="S100"/>
    <s v="SXML"/>
    <x v="0"/>
    <s v="NAGMR-VSI-J-Category-46"/>
    <d v="2026-02-21T10:14:22"/>
    <d v="2026-02-21T10:31:44"/>
    <d v="1899-12-30T00:17:22"/>
    <s v="MS Pages"/>
    <n v="5"/>
    <n v="27"/>
    <d v="1899-12-30T00:11:06"/>
    <n v="0.19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15"/>
    <s v="CJCA"/>
    <n v="5930"/>
    <n v="0"/>
    <n v="0"/>
    <n v="0"/>
    <s v="S5"/>
    <s v="TUDCREATION"/>
    <x v="0"/>
    <s v="NAGMR-VSI-J-Category-26"/>
    <d v="2026-02-21T15:03:04"/>
    <d v="2026-02-21T15:29:55"/>
    <d v="1899-12-30T00:26:51"/>
    <s v="ARTICLE Count"/>
    <n v="1"/>
    <n v="2"/>
    <d v="1899-12-30T00:30:00"/>
    <n v="0.5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OO"/>
    <n v="976"/>
    <n v="0"/>
    <n v="0"/>
    <n v="0"/>
    <s v="S100"/>
    <s v="SXML"/>
    <x v="0"/>
    <s v="NAGMR-VSI-J-Category-46"/>
    <d v="2026-02-21T06:56:16"/>
    <d v="2026-02-21T07:18:58"/>
    <d v="1899-12-30T00:22:42"/>
    <s v="MS Pages"/>
    <n v="13"/>
    <n v="27"/>
    <d v="1899-12-30T00:28:53"/>
    <n v="0.48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THM"/>
    <n v="11748"/>
    <n v="0"/>
    <n v="0"/>
    <n v="0"/>
    <s v="S100"/>
    <s v="SXML"/>
    <x v="0"/>
    <s v="NAGMR-VSI-J-Category-47"/>
    <d v="2026-02-21T07:19:29"/>
    <d v="2026-02-21T07:53:53"/>
    <d v="1899-12-30T00:34:24"/>
    <s v="MS Pages"/>
    <n v="22"/>
    <n v="27"/>
    <d v="1899-12-30T00:48:53"/>
    <n v="0.81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THM"/>
    <n v="11759"/>
    <n v="0"/>
    <n v="0"/>
    <n v="0"/>
    <s v="S100"/>
    <s v="SXML"/>
    <x v="0"/>
    <s v="NAGMR-VSI-J-Category-47"/>
    <d v="2026-02-21T07:54:06"/>
    <d v="2026-02-21T08:56:15"/>
    <d v="1899-12-30T01:02:09"/>
    <s v="MS Pages"/>
    <n v="36"/>
    <n v="27"/>
    <d v="1899-12-30T01:20:00"/>
    <n v="1.33"/>
    <s v="VSI"/>
    <d v="1899-12-30T06:33:27"/>
    <s v="NAGMR"/>
    <s v="journals"/>
    <s v="FIRST SHIFT DP WFH"/>
    <s v="FSDWFH"/>
    <d v="1899-12-30T00:02:57"/>
    <s v="Practitioner"/>
  </r>
  <r>
    <n v="22720"/>
    <x v="10"/>
    <n v="7634"/>
    <s v="NITHYA P"/>
    <n v="3874"/>
    <s v="Saravanan"/>
    <d v="2026-02-21T00:00:00"/>
    <s v="NAGMR"/>
    <s v="XML"/>
    <s v="TEAM-09"/>
    <s v="HROO"/>
    <n v="977"/>
    <n v="0"/>
    <n v="0"/>
    <n v="0"/>
    <s v="S100"/>
    <s v="SXML"/>
    <x v="0"/>
    <s v="NAGMR-VSI-J-Category-46"/>
    <d v="2026-02-21T09:56:10"/>
    <d v="2026-02-21T10:13:42"/>
    <d v="1899-12-30T00:17:32"/>
    <s v="MS Pages"/>
    <n v="13"/>
    <n v="27"/>
    <d v="1899-12-30T00:28:53"/>
    <n v="0.48"/>
    <s v="VSI"/>
    <d v="1899-12-30T06:33:27"/>
    <s v="NAGMR"/>
    <s v="journals"/>
    <s v="FIRST SHIFT DP WFH"/>
    <s v="FSDWFH"/>
    <d v="1899-12-30T00:02:57"/>
    <s v="Practitioner"/>
  </r>
  <r>
    <n v="22828"/>
    <x v="11"/>
    <n v="4175"/>
    <s v="Dhanasekar K"/>
    <n v="3874"/>
    <s v="Saravanan"/>
    <d v="2026-02-21T00:00:00"/>
    <s v="NAGMR"/>
    <s v="XML"/>
    <s v="TEAM-16"/>
    <s v="JACBTS"/>
    <n v="101515"/>
    <n v="0"/>
    <n v="0"/>
    <n v="0"/>
    <s v="S100"/>
    <s v="SXML"/>
    <x v="1"/>
    <s v="NAGMR-VSI-J-Category-53"/>
    <d v="2026-02-20T13:53:11"/>
    <d v="2026-02-20T18:05:45"/>
    <d v="1899-12-30T00:19:09"/>
    <s v="MS Pages"/>
    <n v="0"/>
    <n v="27"/>
    <d v="1899-12-30T00:19:09"/>
    <n v="0"/>
    <s v="VSI"/>
    <d v="1899-12-30T00:39:26"/>
    <s v="NAGMR"/>
    <s v="journals"/>
    <s v="SECOND SHIFT DP WFH"/>
    <s v="SSDWFH"/>
    <s v="-"/>
    <s v="Practitioner"/>
  </r>
  <r>
    <n v="22828"/>
    <x v="11"/>
    <n v="4175"/>
    <s v="Dhanasekar K"/>
    <n v="3874"/>
    <s v="Saravanan"/>
    <d v="2026-02-21T00:00:00"/>
    <s v="NAGMR"/>
    <s v="XML"/>
    <s v="TEAM-16"/>
    <s v="JAC"/>
    <n v="33016"/>
    <n v="0"/>
    <n v="0"/>
    <n v="0"/>
    <s v="S100"/>
    <s v="SXML"/>
    <x v="1"/>
    <s v="NAGMR-VSI-J-Category-51"/>
    <d v="2026-02-18T21:42:46"/>
    <d v="2026-02-19T20:32:55"/>
    <d v="1899-12-30T00:20:17"/>
    <s v="MS Pages"/>
    <n v="0"/>
    <n v="27"/>
    <d v="1899-12-30T00:20:17"/>
    <n v="0"/>
    <s v="VSI"/>
    <d v="1899-12-30T00:39:26"/>
    <s v="NAGMR"/>
    <s v="journals"/>
    <s v="SECOND SHIFT DP WFH"/>
    <s v="SSDWFH"/>
    <s v="-"/>
    <s v="Practitioner"/>
  </r>
  <r>
    <n v="22833"/>
    <x v="12"/>
    <n v="4175"/>
    <s v="Dhanasekar K"/>
    <n v="3874"/>
    <s v="Saravanan"/>
    <d v="2026-02-21T00:00:00"/>
    <s v="NAGMR"/>
    <s v="XML"/>
    <s v="TEAM-15"/>
    <s v="JMCP"/>
    <n v="5111"/>
    <n v="0"/>
    <n v="0"/>
    <n v="0"/>
    <s v="S100"/>
    <s v="SXML"/>
    <x v="1"/>
    <s v="NAGMR-VSI-J-Category-81"/>
    <d v="2026-02-20T02:53:20"/>
    <d v="2026-02-20T23:21:29"/>
    <d v="1899-12-30T00:27:38"/>
    <s v="MS Pages"/>
    <n v="0"/>
    <n v="27"/>
    <d v="1899-12-30T00:27:38"/>
    <n v="0"/>
    <s v="VSI"/>
    <d v="1899-12-30T00:27:38"/>
    <s v="NAGMR"/>
    <s v="journals"/>
    <s v="NIGHT SHIFT DP WFH"/>
    <s v="NSWFH"/>
    <s v="-"/>
    <s v="Practitioner"/>
  </r>
  <r>
    <n v="22923"/>
    <x v="13"/>
    <n v="7634"/>
    <s v="NITHYA P"/>
    <n v="3874"/>
    <s v="Saravanan"/>
    <d v="2026-02-21T00:00:00"/>
    <s v="NAGMR"/>
    <s v="XML"/>
    <s v="TEAM-20"/>
    <s v="BRCI"/>
    <n v="100062"/>
    <n v="0"/>
    <n v="0"/>
    <n v="0"/>
    <s v="S5"/>
    <s v="TUDCREATION"/>
    <x v="0"/>
    <s v="NAGMR-VSI-J-DEFAULT"/>
    <d v="2026-02-21T14:03:06"/>
    <d v="2026-02-21T14:22:12"/>
    <d v="1899-12-30T00:14:33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PILOT"/>
    <s v="YMJD"/>
    <n v="20918"/>
    <n v="0"/>
    <n v="0"/>
    <n v="0"/>
    <s v="S5"/>
    <s v="FVCTERROR"/>
    <x v="0"/>
    <s v="NAGMR-VSI-J-Category-157"/>
    <d v="2026-02-21T14:10:19"/>
    <d v="2026-02-21T14:10:45"/>
    <d v="1899-12-30T00:00:26"/>
    <s v="ARTICLE Count"/>
    <n v="1"/>
    <n v="8"/>
    <d v="1899-12-30T00:07:30"/>
    <n v="0.12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PILOT"/>
    <s v="YMJD"/>
    <n v="20920"/>
    <n v="0"/>
    <n v="0"/>
    <n v="0"/>
    <s v="S5"/>
    <s v="FVCTERROR"/>
    <x v="0"/>
    <s v="NAGMR-VSI-J-Category-157"/>
    <d v="2026-02-21T14:11:24"/>
    <d v="2026-02-21T14:11:37"/>
    <d v="1899-12-30T00:00:13"/>
    <s v="ARTICLE Count"/>
    <n v="1"/>
    <n v="8"/>
    <d v="1899-12-30T00:07:30"/>
    <n v="0.12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16"/>
    <s v="JACCAS"/>
    <n v="107397"/>
    <n v="0"/>
    <n v="0"/>
    <n v="0"/>
    <s v="S5"/>
    <s v="PROCESSTUDXML"/>
    <x v="0"/>
    <s v="NAGMR-VSI-J-Category-39"/>
    <d v="2026-02-21T19:50:49"/>
    <d v="2026-02-21T20:15:04"/>
    <d v="1899-12-30T00:24:15"/>
    <s v="ARTICLE Count"/>
    <n v="1"/>
    <n v="3"/>
    <d v="1899-12-30T00:20:00"/>
    <n v="0.33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PILOT"/>
    <s v="YMJD"/>
    <n v="20921"/>
    <n v="0"/>
    <n v="0"/>
    <n v="0"/>
    <s v="S5"/>
    <s v="FVCTERROR"/>
    <x v="0"/>
    <s v="NAGMR-VSI-J-Category-157"/>
    <d v="2026-02-21T14:11:51"/>
    <d v="2026-02-21T14:12:03"/>
    <d v="1899-12-30T00:00:12"/>
    <s v="ARTICLE Count"/>
    <n v="1"/>
    <n v="8"/>
    <d v="1899-12-30T00:07:30"/>
    <n v="0.12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15"/>
    <s v="CJCPC"/>
    <n v="238"/>
    <n v="0"/>
    <n v="0"/>
    <n v="0"/>
    <s v="S5"/>
    <s v="PROCESSTUDXML"/>
    <x v="0"/>
    <s v="NAGMR-VSI-J-Category-27"/>
    <d v="2026-02-21T19:18:09"/>
    <d v="2026-02-21T19:50:10"/>
    <d v="1899-12-30T00:32:01"/>
    <s v="ARTICLE Count"/>
    <n v="1"/>
    <n v="1"/>
    <d v="1899-12-30T01:00:00"/>
    <n v="1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18"/>
    <s v="JID"/>
    <n v="5189"/>
    <n v="0"/>
    <n v="0"/>
    <n v="0"/>
    <s v="S5"/>
    <s v="TUDCREATION"/>
    <x v="0"/>
    <s v="NAGMR-VSI-J-Category-78"/>
    <d v="2026-02-21T18:07:35"/>
    <d v="2026-02-21T18:42:36"/>
    <d v="1899-12-30T00:35:01"/>
    <s v="ARTICLE Count"/>
    <n v="1"/>
    <n v="1"/>
    <d v="1899-12-30T01:00:00"/>
    <n v="1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22"/>
    <s v="DMD"/>
    <n v="100258"/>
    <n v="0"/>
    <n v="0"/>
    <n v="0"/>
    <s v="S5"/>
    <s v="TUDCREATION"/>
    <x v="0"/>
    <s v="NAGMR-VSI-J-Category-123"/>
    <d v="2026-02-21T18:43:43"/>
    <d v="2026-02-21T19:17:54"/>
    <d v="1899-12-30T00:34:11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20"/>
    <s v="BVTH"/>
    <n v="100153"/>
    <n v="0"/>
    <n v="0"/>
    <n v="0"/>
    <s v="S5"/>
    <s v="TUDCREATION"/>
    <x v="0"/>
    <s v="NAGMR-VSI-J-Category-123"/>
    <d v="2026-02-21T15:12:58"/>
    <d v="2026-02-21T15:34:47"/>
    <d v="1899-12-30T00:21:49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PILOT"/>
    <s v="YMJD"/>
    <n v="20917"/>
    <n v="0"/>
    <n v="0"/>
    <n v="0"/>
    <s v="S5"/>
    <s v="FVCTERROR"/>
    <x v="0"/>
    <s v="NAGMR-VSI-J-Category-157"/>
    <d v="2026-02-21T14:09:48"/>
    <d v="2026-02-21T14:09:59"/>
    <d v="1899-12-30T00:00:11"/>
    <s v="ARTICLE Count"/>
    <n v="1"/>
    <n v="8"/>
    <d v="1899-12-30T00:07:30"/>
    <n v="0.12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16"/>
    <s v="JACCAS"/>
    <n v="107398"/>
    <n v="0"/>
    <n v="0"/>
    <n v="0"/>
    <s v="S5"/>
    <s v="PROCESSTUDXML"/>
    <x v="0"/>
    <s v="NAGMR-VSI-J-Category-39"/>
    <d v="2026-02-21T17:49:00"/>
    <d v="2026-02-21T18:07:27"/>
    <d v="1899-12-30T00:18:27"/>
    <s v="ARTICLE Count"/>
    <n v="1"/>
    <n v="3"/>
    <d v="1899-12-30T00:20:00"/>
    <n v="0.33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11"/>
    <s v="LANEPE"/>
    <n v="101635"/>
    <n v="0"/>
    <n v="0"/>
    <n v="0"/>
    <s v="S5"/>
    <s v="PROCESSTUDXML"/>
    <x v="0"/>
    <s v="NAGMR-VSI-J-Category-123"/>
    <d v="2026-02-21T15:56:32"/>
    <d v="2026-02-21T16:22:41"/>
    <d v="1899-12-30T00:26:09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16"/>
    <s v="JACCAS"/>
    <n v="107280"/>
    <n v="0"/>
    <n v="0"/>
    <n v="0"/>
    <s v="S5"/>
    <s v="PROCESSTUDXML"/>
    <x v="0"/>
    <s v="NAGMR-VSI-J-Category-39"/>
    <d v="2026-02-21T14:47:12"/>
    <d v="2026-02-21T15:12:31"/>
    <d v="1899-12-30T00:25:19"/>
    <s v="ARTICLE Count"/>
    <n v="1"/>
    <n v="3"/>
    <d v="1899-12-30T00:20:00"/>
    <n v="0.33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PILOT"/>
    <s v="YMJD"/>
    <n v="20919"/>
    <n v="0"/>
    <n v="0"/>
    <n v="0"/>
    <s v="S5"/>
    <s v="FVCTERROR"/>
    <x v="0"/>
    <s v="NAGMR-VSI-J-Category-157"/>
    <d v="2026-02-21T14:10:58"/>
    <d v="2026-02-21T14:11:13"/>
    <d v="1899-12-30T00:00:15"/>
    <s v="ARTICLE Count"/>
    <n v="1"/>
    <n v="8"/>
    <d v="1899-12-30T00:07:30"/>
    <n v="0.12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PILOT"/>
    <s v="YMJD"/>
    <n v="20923"/>
    <n v="0"/>
    <n v="0"/>
    <n v="0"/>
    <s v="S5"/>
    <s v="FVCTERROR"/>
    <x v="0"/>
    <s v="NAGMR-VSI-J-Category-157"/>
    <d v="2026-02-21T14:12:14"/>
    <d v="2026-02-21T14:12:33"/>
    <d v="1899-12-30T00:00:19"/>
    <s v="ARTICLE Count"/>
    <n v="1"/>
    <n v="8"/>
    <d v="1899-12-30T00:07:30"/>
    <n v="0.12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20"/>
    <s v="BGLO"/>
    <n v="100074"/>
    <n v="0"/>
    <n v="0"/>
    <n v="0"/>
    <s v="S5"/>
    <s v="TUDCREATION"/>
    <x v="0"/>
    <s v="NAGMR-VSI-J-DEFAULT"/>
    <d v="2026-02-21T13:38:41"/>
    <d v="2026-02-21T14:02:51"/>
    <d v="1899-12-30T00:24:10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16"/>
    <s v="JACCAS"/>
    <n v="107471"/>
    <n v="0"/>
    <n v="0"/>
    <n v="0"/>
    <s v="S5"/>
    <s v="PROCESSTUDXML"/>
    <x v="0"/>
    <s v="NAGMR-VSI-J-Category-39"/>
    <d v="2026-02-21T14:39:32"/>
    <d v="2026-02-21T14:46:57"/>
    <d v="1899-12-30T00:07:25"/>
    <s v="ARTICLE Count"/>
    <n v="1"/>
    <n v="3"/>
    <d v="1899-12-30T00:20:00"/>
    <n v="0.33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20"/>
    <s v="BNEO"/>
    <n v="100210"/>
    <n v="0"/>
    <n v="0"/>
    <n v="0"/>
    <s v="S5"/>
    <s v="TUDCREATION"/>
    <x v="0"/>
    <s v="NAGMR-VSI-J-Category-123"/>
    <d v="2026-02-21T14:22:38"/>
    <d v="2026-02-21T14:39:25"/>
    <d v="1899-12-30T00:16:47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20"/>
    <s v="BVTH"/>
    <n v="100152"/>
    <n v="0"/>
    <n v="0"/>
    <n v="0"/>
    <s v="S5"/>
    <s v="TUDCREATION"/>
    <x v="0"/>
    <s v="NAGMR-VSI-J-Category-123"/>
    <d v="2026-02-21T17:33:35"/>
    <d v="2026-02-21T17:48:39"/>
    <d v="1899-12-30T00:15:04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TEAM-20"/>
    <s v="BVTH"/>
    <n v="100151"/>
    <n v="0"/>
    <n v="0"/>
    <n v="0"/>
    <s v="S5"/>
    <s v="TUDCREATION"/>
    <x v="0"/>
    <s v="NAGMR-VSI-J-Category-123"/>
    <d v="2026-02-21T15:35:01"/>
    <d v="2026-02-21T15:56:12"/>
    <d v="1899-12-30T00:21:11"/>
    <s v="ARTICLE Count"/>
    <n v="1"/>
    <n v="2"/>
    <d v="1899-12-30T00:30:00"/>
    <n v="0.5"/>
    <s v="VSI"/>
    <d v="1899-12-30T08:12:30"/>
    <s v="NAGMR"/>
    <s v="journals"/>
    <s v="SECOND SHIFT DP WFH"/>
    <s v="SSDWFH"/>
    <s v="-"/>
    <s v="Practitioner"/>
  </r>
  <r>
    <n v="22923"/>
    <x v="13"/>
    <n v="7634"/>
    <s v="NITHYA P"/>
    <n v="3874"/>
    <s v="Saravanan"/>
    <d v="2026-02-21T00:00:00"/>
    <s v="NAGMR"/>
    <s v="XML"/>
    <s v="PILOT"/>
    <s v="YMJD"/>
    <n v="20930"/>
    <n v="0"/>
    <n v="0"/>
    <n v="0"/>
    <s v="S5"/>
    <s v="FVCTERROR"/>
    <x v="0"/>
    <s v="NAGMR-VSI-J-Category-157"/>
    <d v="2026-02-21T14:12:44"/>
    <d v="2026-02-21T14:13:33"/>
    <d v="1899-12-30T00:00:49"/>
    <s v="ARTICLE Count"/>
    <n v="1"/>
    <n v="8"/>
    <d v="1899-12-30T00:07:30"/>
    <n v="0.12"/>
    <s v="VSI"/>
    <d v="1899-12-30T08:12:30"/>
    <s v="NAGMR"/>
    <s v="journals"/>
    <s v="SECOND SHIFT DP WFH"/>
    <s v="SSDWFH"/>
    <s v="-"/>
    <s v="Practitioner"/>
  </r>
  <r>
    <n v="22924"/>
    <x v="14"/>
    <n v="7634"/>
    <s v="NITHYA P"/>
    <n v="3874"/>
    <s v="Saravanan"/>
    <d v="2026-02-21T00:00:00"/>
    <s v="NAGMR"/>
    <s v="XML"/>
    <s v="TEAM-17"/>
    <s v="MODPAT"/>
    <n v="100980"/>
    <n v="0"/>
    <n v="0"/>
    <n v="0"/>
    <s v="S5"/>
    <s v="TUDCREATION"/>
    <x v="0"/>
    <s v="NAGMR-VSI-J-Category-123"/>
    <d v="2026-02-21T10:17:13"/>
    <d v="2026-02-21T10:40:12"/>
    <d v="1899-12-30T00:22:59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09"/>
    <s v="HRCR"/>
    <n v="2347"/>
    <n v="0"/>
    <n v="0"/>
    <n v="0"/>
    <s v="S5"/>
    <s v="TUDCREATION"/>
    <x v="0"/>
    <s v="NAGMR-VSI-J-Category-45"/>
    <d v="2026-02-21T08:49:26"/>
    <d v="2026-02-21T11:51:32"/>
    <d v="1899-12-30T00:26:04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22"/>
    <s v="PHARMR"/>
    <n v="100127"/>
    <n v="0"/>
    <n v="0"/>
    <n v="0"/>
    <s v="S5"/>
    <s v="TUDCREATION"/>
    <x v="0"/>
    <s v="NAGMR-VSI-J-Category-123"/>
    <d v="2026-02-21T07:33:34"/>
    <d v="2026-02-21T08:19:28"/>
    <d v="1899-12-30T00:45:54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5"/>
    <s v="CJCO"/>
    <n v="1234"/>
    <n v="0"/>
    <n v="0"/>
    <n v="0"/>
    <s v="S5"/>
    <s v="TUDCREATION"/>
    <x v="0"/>
    <s v="NAGMR-VSI-J-Category-27"/>
    <d v="2026-02-21T09:39:22"/>
    <d v="2026-02-21T09:56:59"/>
    <d v="1899-12-30T00:17:37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9"/>
    <s v="YGAST"/>
    <n v="67334"/>
    <n v="0"/>
    <n v="0"/>
    <n v="0"/>
    <s v="S5"/>
    <s v="TUDCREATION"/>
    <x v="0"/>
    <s v="NAGMR-VSI-J-Category-145"/>
    <d v="2026-02-21T12:54:41"/>
    <d v="2026-02-21T13:42:29"/>
    <d v="1899-12-30T00:47:48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6"/>
    <s v="JACBTS"/>
    <n v="101517"/>
    <n v="0"/>
    <n v="0"/>
    <n v="0"/>
    <s v="S5"/>
    <s v="TUDCREATION"/>
    <x v="0"/>
    <s v="NAGMR-VSI-J-Category-53"/>
    <d v="2026-02-21T08:35:40"/>
    <d v="2026-02-21T08:49:18"/>
    <d v="1899-12-30T00:13:38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6"/>
    <s v="JACBTS"/>
    <n v="101516"/>
    <n v="0"/>
    <n v="0"/>
    <n v="0"/>
    <s v="S5"/>
    <s v="TUDCREATION"/>
    <x v="0"/>
    <s v="NAGMR-VSI-J-Category-53"/>
    <d v="2026-02-21T08:19:42"/>
    <d v="2026-02-21T08:35:29"/>
    <d v="1899-12-30T00:15:47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22"/>
    <s v="PHARMR"/>
    <n v="100126"/>
    <n v="0"/>
    <n v="0"/>
    <n v="0"/>
    <s v="S5"/>
    <s v="TUDCREATION"/>
    <x v="0"/>
    <s v="NAGMR-VSI-J-Category-123"/>
    <d v="2026-02-21T06:10:39"/>
    <d v="2026-02-21T07:33:27"/>
    <d v="1899-12-30T01:22:48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7"/>
    <s v="JSCAI"/>
    <n v="104401"/>
    <n v="0"/>
    <n v="0"/>
    <n v="0"/>
    <s v="S5"/>
    <s v="TUDCREATION"/>
    <x v="0"/>
    <s v="NAGMR-VSI-J-DEFAULT"/>
    <d v="2026-02-21T12:18:24"/>
    <d v="2026-02-21T12:27:11"/>
    <d v="1899-12-30T00:08:47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6"/>
    <s v="JCIN"/>
    <n v="8669"/>
    <n v="0"/>
    <n v="0"/>
    <n v="0"/>
    <s v="S5"/>
    <s v="PROCESSTUDXML"/>
    <x v="0"/>
    <s v="NAGMR-VSI-J-Category-66"/>
    <d v="2026-02-21T10:55:26"/>
    <d v="2026-02-21T11:08:04"/>
    <d v="1899-12-30T00:12:38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09"/>
    <s v="HRCR"/>
    <n v="2346"/>
    <n v="0"/>
    <n v="0"/>
    <n v="0"/>
    <s v="S5"/>
    <s v="TUDCREATION"/>
    <x v="0"/>
    <s v="NAGMR-VSI-J-Category-45"/>
    <d v="2026-02-21T09:03:52"/>
    <d v="2026-02-21T09:19:17"/>
    <d v="1899-12-30T00:15:25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6"/>
    <s v="JACASI"/>
    <n v="829"/>
    <n v="0"/>
    <n v="0"/>
    <n v="0"/>
    <s v="S5"/>
    <s v="TUDCREATION"/>
    <x v="0"/>
    <s v="NAGMR-VSI-J-Category-52"/>
    <d v="2026-02-21T09:19:24"/>
    <d v="2026-02-21T09:39:11"/>
    <d v="1899-12-30T00:19:47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7"/>
    <s v="JSCAI"/>
    <n v="104400"/>
    <n v="0"/>
    <n v="0"/>
    <n v="0"/>
    <s v="S5"/>
    <s v="TUDCREATION"/>
    <x v="0"/>
    <s v="NAGMR-VSI-J-DEFAULT"/>
    <d v="2026-02-21T11:51:57"/>
    <d v="2026-02-21T12:18:15"/>
    <d v="1899-12-30T00:26:18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6"/>
    <s v="JCIN"/>
    <n v="8668"/>
    <n v="0"/>
    <n v="0"/>
    <n v="0"/>
    <s v="S5"/>
    <s v="PROCESSTUDXML"/>
    <x v="0"/>
    <s v="NAGMR-VSI-J-Category-66"/>
    <d v="2026-02-21T10:42:03"/>
    <d v="2026-02-21T10:55:13"/>
    <d v="1899-12-30T00:13:10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24"/>
    <x v="14"/>
    <n v="7634"/>
    <s v="NITHYA P"/>
    <n v="3874"/>
    <s v="Saravanan"/>
    <d v="2026-02-21T00:00:00"/>
    <s v="NAGMR"/>
    <s v="XML"/>
    <s v="TEAM-17"/>
    <s v="JSCAI"/>
    <n v="104399"/>
    <n v="0"/>
    <n v="0"/>
    <n v="0"/>
    <s v="S5"/>
    <s v="TUDCREATION"/>
    <x v="0"/>
    <s v="NAGMR-VSI-J-DEFAULT"/>
    <d v="2026-02-21T10:40:19"/>
    <d v="2026-02-21T11:39:42"/>
    <d v="1899-12-30T00:33:03"/>
    <s v="ARTICLE Count"/>
    <n v="1"/>
    <n v="2"/>
    <d v="1899-12-30T00:30:00"/>
    <n v="0.5"/>
    <s v="VSI"/>
    <d v="1899-12-30T07:30:00"/>
    <s v="NAGMR"/>
    <s v="journals"/>
    <s v="FIRST SHIFT DP WFH"/>
    <s v="FSDWFH"/>
    <s v="-"/>
    <s v="Practitioner"/>
  </r>
  <r>
    <n v="22955"/>
    <x v="15"/>
    <n v="4175"/>
    <s v="Dhanasekar K"/>
    <n v="3874"/>
    <s v="Saravanan"/>
    <d v="2026-02-21T00:00:00"/>
    <s v="NAGMR"/>
    <s v="XML"/>
    <s v="TEAM-18"/>
    <s v="AED"/>
    <n v="554"/>
    <n v="0"/>
    <n v="0"/>
    <n v="0"/>
    <s v="S100"/>
    <s v="PREEDIT"/>
    <x v="0"/>
    <s v="NAGMR-VSI-J-Category-1"/>
    <d v="2026-02-21T09:15:57"/>
    <d v="2026-02-21T10:07:05"/>
    <d v="1899-12-30T00:51:08"/>
    <s v="MS Pages"/>
    <n v="12"/>
    <n v="50"/>
    <d v="1899-12-30T00:14:23"/>
    <n v="0.24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18"/>
    <s v="AED"/>
    <n v="555"/>
    <n v="0"/>
    <n v="0"/>
    <n v="0"/>
    <s v="S100"/>
    <s v="PREEDIT"/>
    <x v="0"/>
    <s v="NAGMR-VSI-J-Category-1"/>
    <d v="2026-02-21T10:16:51"/>
    <d v="2026-02-21T11:07:48"/>
    <d v="1899-12-30T00:50:57"/>
    <s v="MS Pages"/>
    <n v="12"/>
    <n v="50"/>
    <d v="1899-12-30T00:14:23"/>
    <n v="0.24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18"/>
    <s v="AED"/>
    <n v="554"/>
    <n v="0"/>
    <n v="0"/>
    <n v="0"/>
    <s v="S5"/>
    <s v="TUDCREATION"/>
    <x v="0"/>
    <s v="NAGMR-VSI-J-Category-1"/>
    <d v="2026-02-21T10:07:17"/>
    <d v="2026-02-21T10:16:23"/>
    <d v="1899-12-30T00:09:06"/>
    <s v="ARTICLE Count"/>
    <n v="1"/>
    <n v="1"/>
    <d v="1899-12-30T01:00:00"/>
    <n v="1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09"/>
    <s v="YJOMS"/>
    <n v="61110"/>
    <n v="0"/>
    <n v="0"/>
    <n v="0"/>
    <s v="S100"/>
    <s v="PREEDIT"/>
    <x v="0"/>
    <s v="NAGMR-VSI-J-Category-149"/>
    <d v="2026-02-21T07:37:46"/>
    <d v="2026-02-21T08:12:16"/>
    <d v="1899-12-30T00:34:30"/>
    <s v="MS Pages"/>
    <n v="9"/>
    <n v="50"/>
    <d v="1899-12-30T00:10:47"/>
    <n v="0.18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PILOT"/>
    <s v="YMJD"/>
    <n v="20919"/>
    <n v="0"/>
    <n v="0"/>
    <n v="0"/>
    <s v="S5"/>
    <s v="TUDCREATION"/>
    <x v="0"/>
    <s v="NAGMR-VSI-J-Category-157"/>
    <d v="2026-02-21T06:42:05"/>
    <d v="2026-02-21T06:48:05"/>
    <d v="1899-12-30T00:06:00"/>
    <s v="ARTICLE Count"/>
    <n v="1"/>
    <n v="2"/>
    <d v="1899-12-30T00:30:00"/>
    <n v="0.5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PILOT"/>
    <s v="YMJD"/>
    <n v="20930"/>
    <n v="0"/>
    <n v="0"/>
    <n v="0"/>
    <s v="S100"/>
    <s v="PREEDIT"/>
    <x v="0"/>
    <s v="NAGMR-VSI-J-Category-157"/>
    <d v="2026-02-21T11:14:48"/>
    <d v="2026-02-21T12:22:03"/>
    <d v="1899-12-30T01:07:15"/>
    <s v="MS Pages"/>
    <n v="24"/>
    <n v="50"/>
    <d v="1899-12-30T00:28:47"/>
    <n v="0.48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18"/>
    <s v="AED"/>
    <n v="551"/>
    <n v="0"/>
    <n v="0"/>
    <n v="0"/>
    <s v="S5"/>
    <s v="TUDCREATION"/>
    <x v="0"/>
    <s v="NAGMR-VSI-J-Category-1"/>
    <d v="2026-02-21T09:07:51"/>
    <d v="2026-02-21T09:14:32"/>
    <d v="1899-12-30T00:06:41"/>
    <s v="ARTICLE Count"/>
    <n v="1"/>
    <n v="1"/>
    <d v="1899-12-30T01:00:00"/>
    <n v="1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09"/>
    <s v="YJOMS"/>
    <n v="61111"/>
    <n v="0"/>
    <n v="0"/>
    <n v="0"/>
    <s v="S100"/>
    <s v="PREEDIT"/>
    <x v="0"/>
    <s v="NAGMR-VSI-J-Category-149"/>
    <d v="2026-02-21T06:48:18"/>
    <d v="2026-02-21T07:37:03"/>
    <d v="1899-12-30T00:34:43"/>
    <s v="MS Pages"/>
    <n v="36"/>
    <n v="50"/>
    <d v="1899-12-30T00:43:11"/>
    <n v="0.72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09"/>
    <s v="YJOMS"/>
    <n v="61110"/>
    <n v="0"/>
    <n v="0"/>
    <n v="0"/>
    <s v="S5"/>
    <s v="PROCESSTUDXML"/>
    <x v="0"/>
    <s v="NAGMR-VSI-J-Category-149"/>
    <d v="2026-02-21T08:12:28"/>
    <d v="2026-02-21T08:33:33"/>
    <d v="1899-12-30T00:21:05"/>
    <s v="ARTICLE Count"/>
    <n v="1"/>
    <n v="1"/>
    <d v="1899-12-30T01:00:00"/>
    <n v="1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18"/>
    <s v="AED"/>
    <n v="555"/>
    <n v="0"/>
    <n v="0"/>
    <n v="0"/>
    <s v="S5"/>
    <s v="TUDCREATION"/>
    <x v="0"/>
    <s v="NAGMR-VSI-J-Category-1"/>
    <d v="2026-02-21T11:07:54"/>
    <d v="2026-02-21T11:14:34"/>
    <d v="1899-12-30T00:06:40"/>
    <s v="ARTICLE Count"/>
    <n v="1"/>
    <n v="1"/>
    <d v="1899-12-30T01:00:00"/>
    <n v="1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PILOT"/>
    <s v="JDCR"/>
    <n v="4379"/>
    <n v="0"/>
    <n v="0"/>
    <n v="0"/>
    <s v="S5"/>
    <s v="TUDCREATION"/>
    <x v="0"/>
    <s v="NAGMR-VSI-J-Category-72"/>
    <d v="2026-02-21T13:36:48"/>
    <d v="2026-02-21T13:41:41"/>
    <d v="1899-12-30T00:04:53"/>
    <s v="ARTICLE Count"/>
    <n v="1"/>
    <n v="2"/>
    <d v="1899-12-30T00:30:00"/>
    <n v="0.5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18"/>
    <s v="AED"/>
    <n v="551"/>
    <n v="0"/>
    <n v="0"/>
    <n v="0"/>
    <s v="S100"/>
    <s v="PREEDIT"/>
    <x v="0"/>
    <s v="NAGMR-VSI-J-Category-1"/>
    <d v="2026-02-21T08:33:55"/>
    <d v="2026-02-21T09:15:04"/>
    <d v="1899-12-30T00:34:11"/>
    <s v="MS Pages"/>
    <n v="13"/>
    <n v="50"/>
    <d v="1899-12-30T00:15:36"/>
    <n v="0.26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TEAM-09"/>
    <s v="YJOMS"/>
    <n v="61111"/>
    <n v="0"/>
    <n v="0"/>
    <n v="0"/>
    <s v="S5"/>
    <s v="PROCESSTUDXML"/>
    <x v="0"/>
    <s v="NAGMR-VSI-J-Category-149"/>
    <d v="2026-02-21T07:22:50"/>
    <d v="2026-02-21T07:36:33"/>
    <d v="1899-12-30T00:13:43"/>
    <s v="ARTICLE Count"/>
    <n v="1"/>
    <n v="1"/>
    <d v="1899-12-30T01:00:00"/>
    <n v="1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PILOT"/>
    <s v="YMJD"/>
    <n v="20919"/>
    <n v="0"/>
    <n v="0"/>
    <n v="0"/>
    <s v="S100"/>
    <s v="PREEDIT"/>
    <x v="0"/>
    <s v="NAGMR-VSI-J-Category-157"/>
    <d v="2026-02-21T06:14:37"/>
    <d v="2026-02-21T06:42:00"/>
    <d v="1899-12-30T00:27:23"/>
    <s v="MS Pages"/>
    <n v="6"/>
    <n v="50"/>
    <d v="1899-12-30T00:07:11"/>
    <n v="0.12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PILOT"/>
    <s v="YMJD"/>
    <n v="20930"/>
    <n v="0"/>
    <n v="0"/>
    <n v="0"/>
    <s v="S5"/>
    <s v="TUDCREATION"/>
    <x v="0"/>
    <s v="NAGMR-VSI-J-Category-157"/>
    <d v="2026-02-21T12:22:31"/>
    <d v="2026-02-21T12:31:22"/>
    <d v="1899-12-30T00:08:51"/>
    <s v="ARTICLE Count"/>
    <n v="1"/>
    <n v="2"/>
    <d v="1899-12-30T00:30:00"/>
    <n v="0.5"/>
    <s v="VSI"/>
    <d v="1899-12-30T08:52:42"/>
    <s v="NAGMR"/>
    <s v="journals"/>
    <s v="FIRST SHIFT DP WFH"/>
    <s v="FSDWFH"/>
    <s v="-"/>
    <s v="Novice"/>
  </r>
  <r>
    <n v="22955"/>
    <x v="15"/>
    <n v="4175"/>
    <s v="Dhanasekar K"/>
    <n v="3874"/>
    <s v="Saravanan"/>
    <d v="2026-02-21T00:00:00"/>
    <s v="NAGMR"/>
    <s v="XML"/>
    <s v="PILOT"/>
    <s v="JDCR"/>
    <n v="4379"/>
    <n v="0"/>
    <n v="0"/>
    <n v="0"/>
    <s v="S100"/>
    <s v="PREEDIT"/>
    <x v="0"/>
    <s v="NAGMR-VSI-J-Category-72"/>
    <d v="2026-02-21T12:31:50"/>
    <d v="2026-02-21T13:46:58"/>
    <d v="1899-12-30T01:10:03"/>
    <s v="MS Pages"/>
    <n v="7"/>
    <n v="50"/>
    <d v="1899-12-30T00:08:24"/>
    <n v="0.14000000000000001"/>
    <s v="VSI"/>
    <d v="1899-12-30T08:52:42"/>
    <s v="NAGMR"/>
    <s v="journals"/>
    <s v="FIRST SHIFT DP WFH"/>
    <s v="FSDWFH"/>
    <s v="-"/>
    <s v="Novice"/>
  </r>
  <r>
    <n v="22957"/>
    <x v="16"/>
    <n v="4175"/>
    <s v="Dhanasekar K"/>
    <n v="3874"/>
    <s v="Saravanan"/>
    <d v="2026-02-21T00:00:00"/>
    <s v="NAGMR"/>
    <s v="XML"/>
    <s v="TEAM-22"/>
    <s v="YJHSU"/>
    <n v="57717"/>
    <n v="0"/>
    <n v="0"/>
    <n v="0"/>
    <s v="S100"/>
    <s v="SXML"/>
    <x v="1"/>
    <s v="NAGMR-VSI-J-Category-148"/>
    <d v="2026-02-20T11:05:20"/>
    <d v="2026-02-20T16:13:44"/>
    <d v="1899-12-30T01:39:19"/>
    <s v="MS Pages"/>
    <n v="0"/>
    <n v="20"/>
    <d v="1899-12-30T01:39:19"/>
    <n v="0"/>
    <s v="VSI"/>
    <d v="1899-12-30T02:08:12"/>
    <s v="NAGMR"/>
    <s v="journals"/>
    <s v="FIRST SHIFT DP WFH"/>
    <s v="FSDWFH"/>
    <s v="-"/>
    <s v="Novice"/>
  </r>
  <r>
    <n v="22957"/>
    <x v="16"/>
    <n v="4175"/>
    <s v="Dhanasekar K"/>
    <n v="3874"/>
    <s v="Saravanan"/>
    <d v="2026-02-21T00:00:00"/>
    <s v="NAGMR"/>
    <s v="XML"/>
    <s v="TEAM-22"/>
    <s v="ACEPJO"/>
    <n v="100345"/>
    <n v="0"/>
    <n v="0"/>
    <n v="0"/>
    <s v="S100"/>
    <s v="SXML"/>
    <x v="1"/>
    <s v="NAGMR-VSI-J-Category-123"/>
    <d v="2026-02-20T07:50:22"/>
    <d v="2026-02-20T08:02:49"/>
    <d v="1899-12-30T00:11:27"/>
    <s v="MS Pages"/>
    <n v="0"/>
    <n v="20"/>
    <d v="1899-12-30T00:11:27"/>
    <n v="0"/>
    <s v="VSI"/>
    <d v="1899-12-30T02:08:12"/>
    <s v="NAGMR"/>
    <s v="journals"/>
    <s v="FIRST SHIFT DP WFH"/>
    <s v="FSDWFH"/>
    <s v="-"/>
    <s v="Novice"/>
  </r>
  <r>
    <n v="22957"/>
    <x v="16"/>
    <n v="4175"/>
    <s v="Dhanasekar K"/>
    <n v="3874"/>
    <s v="Saravanan"/>
    <d v="2026-02-21T00:00:00"/>
    <s v="NAGMR"/>
    <s v="XML"/>
    <s v="TEAM-22"/>
    <s v="YMEM"/>
    <n v="10721"/>
    <n v="0"/>
    <n v="0"/>
    <n v="0"/>
    <s v="S100"/>
    <s v="SXML"/>
    <x v="1"/>
    <s v="NAGMR-VSI-J-Category-154"/>
    <d v="2026-02-18T13:29:58"/>
    <d v="2026-02-18T14:08:43"/>
    <d v="1899-12-30T00:17:26"/>
    <s v="MS Pages"/>
    <n v="0"/>
    <n v="20"/>
    <d v="1899-12-30T00:17:26"/>
    <n v="0"/>
    <s v="VSI"/>
    <d v="1899-12-30T02:08:12"/>
    <s v="NAGMR"/>
    <s v="journals"/>
    <s v="FIRST SHIFT DP WFH"/>
    <s v="FSDWFH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66"/>
    <n v="0"/>
    <n v="0"/>
    <n v="0"/>
    <s v="S5"/>
    <s v="PROCESSTUDXML"/>
    <x v="0"/>
    <s v="NAGMR-VSI-J-Category-52"/>
    <d v="2026-02-21T17:14:45"/>
    <d v="2026-02-21T17:18:37"/>
    <d v="1899-12-30T00:03:52"/>
    <s v="ARTICLE Count"/>
    <n v="1"/>
    <n v="1"/>
    <d v="1899-12-30T01:00:00"/>
    <n v="1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09"/>
    <s v="JVSSCI"/>
    <n v="100413"/>
    <n v="0"/>
    <n v="0"/>
    <n v="0"/>
    <s v="S100"/>
    <s v="PREEDIT"/>
    <x v="0"/>
    <s v="NAGMR-VSI-J-Category-98"/>
    <d v="2026-02-21T19:24:47"/>
    <d v="2026-02-21T20:04:34"/>
    <d v="1899-12-30T00:39:47"/>
    <s v="MS Pages"/>
    <n v="26"/>
    <n v="50"/>
    <d v="1899-12-30T00:31:12"/>
    <n v="0.52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59"/>
    <n v="0"/>
    <n v="0"/>
    <n v="0"/>
    <s v="S5"/>
    <s v="PROCESSTUDXML"/>
    <x v="0"/>
    <s v="NAGMR-VSI-J-Category-52"/>
    <d v="2026-02-21T15:34:24"/>
    <d v="2026-02-21T15:39:02"/>
    <d v="1899-12-30T00:04:38"/>
    <s v="ARTICLE Count"/>
    <n v="1"/>
    <n v="1"/>
    <d v="1899-12-30T01:00:00"/>
    <n v="1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68"/>
    <n v="0"/>
    <n v="0"/>
    <n v="0"/>
    <s v="S5"/>
    <s v="PROCESSTUDXML"/>
    <x v="0"/>
    <s v="NAGMR-VSI-J-Category-52"/>
    <d v="2026-02-21T17:51:25"/>
    <d v="2026-02-21T17:55:28"/>
    <d v="1899-12-30T00:04:03"/>
    <s v="ARTICLE Count"/>
    <n v="1"/>
    <n v="1"/>
    <d v="1899-12-30T01:00:00"/>
    <n v="1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68"/>
    <n v="0"/>
    <n v="0"/>
    <n v="0"/>
    <s v="S100"/>
    <s v="PREEDIT"/>
    <x v="0"/>
    <s v="NAGMR-VSI-J-Category-52"/>
    <d v="2026-02-21T17:18:52"/>
    <d v="2026-02-21T17:51:11"/>
    <d v="1899-12-30T00:32:19"/>
    <s v="MS Pages"/>
    <n v="24"/>
    <n v="50"/>
    <d v="1899-12-30T00:28:47"/>
    <n v="0.48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67"/>
    <n v="0"/>
    <n v="0"/>
    <n v="0"/>
    <s v="S5"/>
    <s v="PROCESSTUDXML"/>
    <x v="0"/>
    <s v="NAGMR-VSI-J-Category-52"/>
    <d v="2026-02-21T19:19:52"/>
    <d v="2026-02-21T19:24:38"/>
    <d v="1899-12-30T00:04:46"/>
    <s v="ARTICLE Count"/>
    <n v="1"/>
    <n v="1"/>
    <d v="1899-12-30T01:00:00"/>
    <n v="1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09"/>
    <s v="JVSV"/>
    <n v="102460"/>
    <n v="0"/>
    <n v="0"/>
    <n v="0"/>
    <s v="S100"/>
    <s v="PREEDIT"/>
    <x v="0"/>
    <s v="NAGMR-VSI-J-Category-99"/>
    <d v="2026-02-21T15:39:20"/>
    <d v="2026-02-21T15:53:23"/>
    <d v="1899-12-30T00:14:03"/>
    <s v="MS Pages"/>
    <n v="21"/>
    <n v="50"/>
    <d v="1899-12-30T00:25:12"/>
    <n v="0.42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66"/>
    <n v="0"/>
    <n v="0"/>
    <n v="0"/>
    <s v="S100"/>
    <s v="PREEDIT"/>
    <x v="0"/>
    <s v="NAGMR-VSI-J-Category-52"/>
    <d v="2026-02-21T16:40:26"/>
    <d v="2026-02-21T17:14:35"/>
    <d v="1899-12-30T00:34:09"/>
    <s v="MS Pages"/>
    <n v="21"/>
    <n v="50"/>
    <d v="1899-12-30T00:25:12"/>
    <n v="0.42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67"/>
    <n v="0"/>
    <n v="0"/>
    <n v="0"/>
    <s v="S100"/>
    <s v="PREEDIT"/>
    <x v="0"/>
    <s v="NAGMR-VSI-J-Category-52"/>
    <d v="2026-02-21T17:55:38"/>
    <d v="2026-02-21T19:19:44"/>
    <d v="1899-12-30T01:24:06"/>
    <s v="MS Pages"/>
    <n v="79"/>
    <n v="50"/>
    <d v="1899-12-30T01:34:48"/>
    <n v="1.58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09"/>
    <s v="JVSV"/>
    <n v="102460"/>
    <n v="0"/>
    <n v="0"/>
    <n v="0"/>
    <s v="S5"/>
    <s v="PROCESSTUDXML"/>
    <x v="0"/>
    <s v="NAGMR-VSI-J-Category-99"/>
    <d v="2026-02-21T15:53:34"/>
    <d v="2026-02-21T15:57:44"/>
    <d v="1899-12-30T00:04:10"/>
    <s v="ARTICLE Count"/>
    <n v="1"/>
    <n v="1"/>
    <d v="1899-12-30T01:00:00"/>
    <n v="1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09"/>
    <s v="JVSSCI"/>
    <n v="100413"/>
    <n v="0"/>
    <n v="0"/>
    <n v="0"/>
    <s v="S5"/>
    <s v="PROCESSTUDXML"/>
    <x v="0"/>
    <s v="NAGMR-VSI-J-Category-98"/>
    <d v="2026-02-21T20:04:41"/>
    <d v="2026-02-21T20:10:16"/>
    <d v="1899-12-30T00:05:35"/>
    <s v="ARTICLE Count"/>
    <n v="1"/>
    <n v="1"/>
    <d v="1899-12-30T01:00:00"/>
    <n v="1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57"/>
    <n v="0"/>
    <n v="0"/>
    <n v="0"/>
    <s v="S100"/>
    <s v="PREEDIT"/>
    <x v="0"/>
    <s v="NAGMR-VSI-J-Category-52"/>
    <d v="2026-02-21T13:36:04"/>
    <d v="2026-02-21T14:12:00"/>
    <d v="1899-12-30T00:35:56"/>
    <s v="MS Pages"/>
    <n v="9"/>
    <n v="50"/>
    <d v="1899-12-30T00:10:47"/>
    <n v="0.18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57"/>
    <n v="0"/>
    <n v="0"/>
    <n v="0"/>
    <s v="S5"/>
    <s v="PROCESSTUDXML"/>
    <x v="0"/>
    <s v="NAGMR-VSI-J-Category-52"/>
    <d v="2026-02-21T14:12:12"/>
    <d v="2026-02-21T14:19:03"/>
    <d v="1899-12-30T00:06:51"/>
    <s v="ARTICLE Count"/>
    <n v="1"/>
    <n v="1"/>
    <d v="1899-12-30T01:00:00"/>
    <n v="1"/>
    <s v="VSI"/>
    <d v="1899-12-30T11:13:09"/>
    <s v="NAGMR"/>
    <s v="journals"/>
    <s v="SECOND SHIFT DP WFO"/>
    <s v="SSDWFO"/>
    <s v="-"/>
    <s v="Novice"/>
  </r>
  <r>
    <n v="22958"/>
    <x v="17"/>
    <n v="4175"/>
    <s v="Dhanasekar K"/>
    <n v="3874"/>
    <s v="Saravanan"/>
    <d v="2026-02-21T00:00:00"/>
    <s v="NAGMR"/>
    <s v="XML"/>
    <s v="TEAM-16"/>
    <s v="JACADV"/>
    <n v="102659"/>
    <n v="0"/>
    <n v="0"/>
    <n v="0"/>
    <s v="S100"/>
    <s v="PREEDIT"/>
    <x v="0"/>
    <s v="NAGMR-VSI-J-Category-52"/>
    <d v="2026-02-21T14:19:13"/>
    <d v="2026-02-21T15:33:40"/>
    <d v="1899-12-30T01:14:27"/>
    <s v="MS Pages"/>
    <n v="31"/>
    <n v="50"/>
    <d v="1899-12-30T00:37:11"/>
    <n v="0.62"/>
    <s v="VSI"/>
    <d v="1899-12-30T11:13:09"/>
    <s v="NAGMR"/>
    <s v="journals"/>
    <s v="SECOND SHIFT DP WFO"/>
    <s v="SSDWFO"/>
    <s v="-"/>
    <s v="Novice"/>
  </r>
  <r>
    <n v="22961"/>
    <x v="18"/>
    <n v="4175"/>
    <s v="Dhanasekar K"/>
    <n v="3874"/>
    <s v="Saravanan"/>
    <d v="2026-02-21T00:00:00"/>
    <s v="NAGMR"/>
    <s v="XML"/>
    <s v="TEAM-17"/>
    <s v="CHEST"/>
    <n v="7332"/>
    <n v="0"/>
    <n v="0"/>
    <n v="0"/>
    <s v="S100"/>
    <s v="SXML"/>
    <x v="0"/>
    <s v="NAGMR-VSI-J-Category-24"/>
    <d v="2026-02-21T19:20:33"/>
    <d v="2026-02-21T20:19:17"/>
    <d v="1899-12-30T00:58:44"/>
    <s v="MS Pages"/>
    <n v="10"/>
    <n v="20"/>
    <d v="1899-12-30T00:30:00"/>
    <n v="0.5"/>
    <s v="VSI"/>
    <d v="1899-12-30T06:03:00"/>
    <s v="NAGMR"/>
    <s v="journals"/>
    <s v="SECOND SHIFT DP WFO"/>
    <s v="SSDWFO"/>
    <s v="-"/>
    <s v="Novice"/>
  </r>
  <r>
    <n v="22961"/>
    <x v="18"/>
    <n v="4175"/>
    <s v="Dhanasekar K"/>
    <n v="3874"/>
    <s v="Saravanan"/>
    <d v="2026-02-21T00:00:00"/>
    <s v="NAGMR"/>
    <s v="XML"/>
    <s v="TEAM-17"/>
    <s v="EKIR"/>
    <n v="106363"/>
    <n v="0"/>
    <n v="0"/>
    <n v="0"/>
    <s v="S100"/>
    <s v="SXML"/>
    <x v="0"/>
    <s v="NAGMR-VSI-J-Category-36"/>
    <d v="2026-02-20T20:07:32"/>
    <d v="2026-02-21T21:19:15"/>
    <d v="1899-12-30T01:18:04"/>
    <s v="MS Pages"/>
    <n v="7"/>
    <n v="20"/>
    <d v="1899-12-30T00:21:00"/>
    <n v="0.35"/>
    <s v="VSI"/>
    <d v="1899-12-30T06:03:00"/>
    <s v="NAGMR"/>
    <s v="journals"/>
    <s v="SECOND SHIFT DP WFO"/>
    <s v="SSDWFO"/>
    <s v="-"/>
    <s v="Novice"/>
  </r>
  <r>
    <n v="22961"/>
    <x v="18"/>
    <n v="4175"/>
    <s v="Dhanasekar K"/>
    <n v="3874"/>
    <s v="Saravanan"/>
    <d v="2026-02-21T00:00:00"/>
    <s v="NAGMR"/>
    <s v="XML"/>
    <s v="TEAM-17"/>
    <s v="EKIR"/>
    <n v="106349"/>
    <n v="0"/>
    <n v="0"/>
    <n v="0"/>
    <s v="S100"/>
    <s v="SXML"/>
    <x v="0"/>
    <s v="NAGMR-VSI-J-Category-36"/>
    <d v="2026-02-21T12:49:06"/>
    <d v="2026-02-21T13:13:29"/>
    <d v="1899-12-30T00:24:23"/>
    <s v="MS Pages"/>
    <n v="5"/>
    <n v="20"/>
    <d v="1899-12-30T00:15:00"/>
    <n v="0.25"/>
    <s v="VSI"/>
    <d v="1899-12-30T06:03:00"/>
    <s v="NAGMR"/>
    <s v="journals"/>
    <s v="SECOND SHIFT DP WFO"/>
    <s v="SSDWFO"/>
    <s v="-"/>
    <s v="Novice"/>
  </r>
  <r>
    <n v="22961"/>
    <x v="18"/>
    <n v="4175"/>
    <s v="Dhanasekar K"/>
    <n v="3874"/>
    <s v="Saravanan"/>
    <d v="2026-02-21T00:00:00"/>
    <s v="NAGMR"/>
    <s v="XML"/>
    <s v="TEAM-17"/>
    <s v="CHEST"/>
    <n v="7334"/>
    <n v="0"/>
    <n v="0"/>
    <n v="0"/>
    <s v="S100"/>
    <s v="SXML"/>
    <x v="0"/>
    <s v="NAGMR-VSI-J-Category-24"/>
    <d v="2026-02-21T20:19:28"/>
    <d v="2026-02-21T21:17:04"/>
    <d v="1899-12-30T00:57:36"/>
    <s v="MS Pages"/>
    <n v="12"/>
    <n v="20"/>
    <d v="1899-12-30T00:36:00"/>
    <n v="0.6"/>
    <s v="VSI"/>
    <d v="1899-12-30T06:03:00"/>
    <s v="NAGMR"/>
    <s v="journals"/>
    <s v="SECOND SHIFT DP WFO"/>
    <s v="SSDWFO"/>
    <s v="-"/>
    <s v="Novice"/>
  </r>
  <r>
    <n v="22961"/>
    <x v="18"/>
    <n v="4175"/>
    <s v="Dhanasekar K"/>
    <n v="3874"/>
    <s v="Saravanan"/>
    <d v="2026-02-21T00:00:00"/>
    <s v="NAGMR"/>
    <s v="XML"/>
    <s v="TEAM-17"/>
    <s v="EKIR"/>
    <n v="106353"/>
    <n v="0"/>
    <n v="0"/>
    <n v="0"/>
    <s v="S100"/>
    <s v="SXML"/>
    <x v="0"/>
    <s v="NAGMR-VSI-J-Category-36"/>
    <d v="2026-02-21T15:51:41"/>
    <d v="2026-02-21T17:04:54"/>
    <d v="1899-12-30T01:12:54"/>
    <s v="MS Pages"/>
    <n v="29"/>
    <n v="20"/>
    <d v="1899-12-30T01:27:00"/>
    <n v="1.45"/>
    <s v="VSI"/>
    <d v="1899-12-30T06:03:00"/>
    <s v="NAGMR"/>
    <s v="journals"/>
    <s v="SECOND SHIFT DP WFO"/>
    <s v="SSDWFO"/>
    <s v="-"/>
    <s v="Novice"/>
  </r>
  <r>
    <n v="22961"/>
    <x v="18"/>
    <n v="4175"/>
    <s v="Dhanasekar K"/>
    <n v="3874"/>
    <s v="Saravanan"/>
    <d v="2026-02-21T00:00:00"/>
    <s v="NAGMR"/>
    <s v="XML"/>
    <s v="TEAM-17"/>
    <s v="MODPAT"/>
    <n v="100977"/>
    <n v="0"/>
    <n v="0"/>
    <n v="0"/>
    <s v="S100"/>
    <s v="SXML"/>
    <x v="0"/>
    <s v="NAGMR-VSI-J-Category-123"/>
    <d v="2026-02-20T20:47:58"/>
    <d v="2026-02-21T12:11:23"/>
    <d v="1899-12-30T01:19:23"/>
    <s v="MS Pages"/>
    <n v="28"/>
    <n v="20"/>
    <d v="1899-12-30T01:24:00"/>
    <n v="1.4"/>
    <s v="VSI"/>
    <d v="1899-12-30T06:03:00"/>
    <s v="NAGMR"/>
    <s v="journals"/>
    <s v="SECOND SHIFT DP WFO"/>
    <s v="SSDWFO"/>
    <s v="-"/>
    <s v="Novice"/>
  </r>
  <r>
    <n v="22961"/>
    <x v="18"/>
    <n v="4175"/>
    <s v="Dhanasekar K"/>
    <n v="3874"/>
    <s v="Saravanan"/>
    <d v="2026-02-21T00:00:00"/>
    <s v="NAGMR"/>
    <s v="XML"/>
    <s v="TEAM-17"/>
    <s v="LABINV"/>
    <n v="106079"/>
    <n v="0"/>
    <n v="0"/>
    <n v="0"/>
    <s v="S100"/>
    <s v="SXML"/>
    <x v="0"/>
    <s v="NAGMR-VSI-J-Category-123"/>
    <d v="2026-02-21T17:05:24"/>
    <d v="2026-02-21T18:01:10"/>
    <d v="1899-12-30T00:55:46"/>
    <s v="MS Pages"/>
    <n v="30"/>
    <n v="20"/>
    <d v="1899-12-30T01:30:00"/>
    <n v="1.5"/>
    <s v="VSI"/>
    <d v="1899-12-30T06:03:00"/>
    <s v="NAGMR"/>
    <s v="journals"/>
    <s v="SECOND SHIFT DP WFO"/>
    <s v="SSDWFO"/>
    <s v="-"/>
    <s v="Novice"/>
  </r>
  <r>
    <n v="23043"/>
    <x v="19"/>
    <n v="4175"/>
    <s v="Dhanasekar K"/>
    <n v="3874"/>
    <s v="Saravanan"/>
    <d v="2026-02-21T00:00:00"/>
    <s v="NAGMR"/>
    <s v="XML"/>
    <s v="TEAM-07"/>
    <s v="IOTECH"/>
    <n v="101586"/>
    <n v="0"/>
    <n v="0"/>
    <n v="0"/>
    <s v="S5"/>
    <s v="PROCESSTUDXML"/>
    <x v="0"/>
    <s v="NAGMR-VSI-J-Category-48"/>
    <d v="2026-02-21T09:54:07"/>
    <d v="2026-02-21T10:49:03"/>
    <d v="1899-12-30T00:54:56"/>
    <s v="ARTICLE Count"/>
    <n v="1"/>
    <n v="1"/>
    <d v="1899-12-30T01:00:00"/>
    <n v="1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PILOT"/>
    <s v="YMJD"/>
    <n v="20924"/>
    <n v="0"/>
    <n v="0"/>
    <n v="0"/>
    <s v="S5"/>
    <s v="TUDCREATION"/>
    <x v="0"/>
    <s v="NAGMR-VSI-J-Category-157"/>
    <d v="2026-02-21T07:07:41"/>
    <d v="2026-02-21T07:26:58"/>
    <d v="1899-12-30T00:19:17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22"/>
    <s v="ASPETD"/>
    <n v="100020"/>
    <n v="0"/>
    <n v="0"/>
    <n v="0"/>
    <s v="S5"/>
    <s v="TUDCREATION"/>
    <x v="0"/>
    <s v="NAGMR-VSI-J-Category-123"/>
    <d v="2026-02-21T10:50:50"/>
    <d v="2026-02-21T11:41:04"/>
    <d v="1899-12-30T00:50:14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18"/>
    <s v="IGIE"/>
    <n v="374"/>
    <n v="0"/>
    <n v="0"/>
    <n v="0"/>
    <s v="S5"/>
    <s v="TUDCREATION"/>
    <x v="0"/>
    <s v="NAGMR-VSI-J-DEFAULT"/>
    <d v="2026-02-21T09:28:21"/>
    <d v="2026-02-21T12:07:07"/>
    <d v="1899-12-30T00:49:13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18"/>
    <s v="YMGE"/>
    <n v="15327"/>
    <n v="0"/>
    <n v="0"/>
    <n v="0"/>
    <s v="S5"/>
    <s v="TUDCREATION"/>
    <x v="0"/>
    <s v="NAGMR-VSI-J-Category-156"/>
    <d v="2026-02-21T07:37:14"/>
    <d v="2026-02-21T08:00:03"/>
    <d v="1899-12-30T00:22:49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18"/>
    <s v="YMGE"/>
    <n v="15326"/>
    <n v="0"/>
    <n v="0"/>
    <n v="0"/>
    <s v="S5"/>
    <s v="TUDCREATION"/>
    <x v="0"/>
    <s v="NAGMR-VSI-J-Category-156"/>
    <d v="2026-02-21T07:27:19"/>
    <d v="2026-02-21T07:36:57"/>
    <d v="1899-12-30T00:09:38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18"/>
    <s v="YMOB"/>
    <n v="16677"/>
    <n v="0"/>
    <n v="0"/>
    <n v="0"/>
    <s v="S5"/>
    <s v="TUDCREATION"/>
    <x v="0"/>
    <s v="NAGMR-VSI-J-Category-159"/>
    <d v="2026-02-21T13:40:40"/>
    <d v="2026-02-21T13:58:15"/>
    <d v="1899-12-30T00:17:35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PILOT"/>
    <s v="YMJD"/>
    <n v="20925"/>
    <n v="0"/>
    <n v="0"/>
    <n v="0"/>
    <s v="S5"/>
    <s v="TUDCREATION"/>
    <x v="0"/>
    <s v="NAGMR-VSI-J-Category-157"/>
    <d v="2026-02-21T12:07:49"/>
    <d v="2026-02-21T12:38:14"/>
    <d v="1899-12-30T00:30:25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19"/>
    <s v="JVIR"/>
    <n v="108606"/>
    <n v="0"/>
    <n v="0"/>
    <n v="0"/>
    <s v="S5"/>
    <s v="TUDCREATION"/>
    <x v="0"/>
    <s v="NAGMR-VSI-J-Category-96"/>
    <d v="2026-02-21T12:38:33"/>
    <d v="2026-02-21T13:09:23"/>
    <d v="1899-12-30T00:30:50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18"/>
    <s v="YMGE"/>
    <n v="15328"/>
    <n v="0"/>
    <n v="0"/>
    <n v="0"/>
    <s v="S5"/>
    <s v="TUDCREATION"/>
    <x v="0"/>
    <s v="NAGMR-VSI-J-Category-156"/>
    <d v="2026-02-21T08:00:14"/>
    <d v="2026-02-21T08:35:19"/>
    <d v="1899-12-30T00:35:05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3"/>
    <x v="19"/>
    <n v="4175"/>
    <s v="Dhanasekar K"/>
    <n v="3874"/>
    <s v="Saravanan"/>
    <d v="2026-02-21T00:00:00"/>
    <s v="NAGMR"/>
    <s v="XML"/>
    <s v="TEAM-17"/>
    <s v="CHPULM"/>
    <n v="100242"/>
    <n v="0"/>
    <n v="0"/>
    <n v="0"/>
    <s v="S5"/>
    <s v="TUDCREATION"/>
    <x v="0"/>
    <s v="NAGMR-VSI-J-Category-24"/>
    <d v="2026-02-21T08:35:58"/>
    <d v="2026-02-21T09:28:11"/>
    <d v="1899-12-30T00:52:13"/>
    <s v="ARTICLE Count"/>
    <n v="1"/>
    <n v="2"/>
    <d v="1899-12-30T00:30:00"/>
    <n v="0.5"/>
    <s v="VSI"/>
    <d v="1899-12-30T06:00:00"/>
    <s v="NAGMR"/>
    <s v="journals"/>
    <s v="FIRST SHIFT DP WFO"/>
    <s v="FSDWFO"/>
    <s v="-"/>
    <s v="Novice"/>
  </r>
  <r>
    <n v="23044"/>
    <x v="20"/>
    <n v="4175"/>
    <s v="Dhanasekar K"/>
    <n v="3874"/>
    <s v="Saravanan"/>
    <d v="2026-02-21T00:00:00"/>
    <s v="NAGMR"/>
    <s v="XML"/>
    <s v="TEAM-17"/>
    <s v="KISU"/>
    <n v="103"/>
    <n v="0"/>
    <n v="0"/>
    <n v="0"/>
    <s v="S5"/>
    <s v="TUDCREATION"/>
    <x v="0"/>
    <s v="NAGMR-VSI-J-Category-101"/>
    <d v="2026-02-21T17:19:26"/>
    <d v="2026-02-21T17:40:21"/>
    <d v="1899-12-30T00:20:55"/>
    <s v="ARTICLE Count"/>
    <n v="1"/>
    <n v="1"/>
    <d v="1899-12-30T01:00:00"/>
    <n v="1"/>
    <s v="VSI"/>
    <d v="1899-12-30T07:00:00"/>
    <s v="NAGMR"/>
    <s v="journals"/>
    <s v="SECOND SHIFT DP WFO"/>
    <s v="SSDWFO"/>
    <s v="-"/>
    <s v="Novice"/>
  </r>
  <r>
    <n v="23044"/>
    <x v="20"/>
    <n v="4175"/>
    <s v="Dhanasekar K"/>
    <n v="3874"/>
    <s v="Saravanan"/>
    <d v="2026-02-21T00:00:00"/>
    <s v="NAGMR"/>
    <s v="XML"/>
    <s v="TEAM-17"/>
    <s v="KISU"/>
    <n v="102"/>
    <n v="0"/>
    <n v="0"/>
    <n v="0"/>
    <s v="S5"/>
    <s v="TUDCREATION"/>
    <x v="0"/>
    <s v="NAGMR-VSI-J-Category-101"/>
    <d v="2026-02-21T16:36:01"/>
    <d v="2026-02-21T17:19:17"/>
    <d v="1899-12-30T00:43:16"/>
    <s v="ARTICLE Count"/>
    <n v="1"/>
    <n v="1"/>
    <d v="1899-12-30T01:00:00"/>
    <n v="1"/>
    <s v="VSI"/>
    <d v="1899-12-30T07:00:00"/>
    <s v="NAGMR"/>
    <s v="journals"/>
    <s v="SECOND SHIFT DP WFO"/>
    <s v="SSDWFO"/>
    <s v="-"/>
    <s v="Novice"/>
  </r>
  <r>
    <n v="23044"/>
    <x v="20"/>
    <n v="4175"/>
    <s v="Dhanasekar K"/>
    <n v="3874"/>
    <s v="Saravanan"/>
    <d v="2026-02-21T00:00:00"/>
    <s v="NAGMR"/>
    <s v="XML"/>
    <s v="TEAM-09"/>
    <s v="JOGN"/>
    <n v="1020"/>
    <n v="0"/>
    <n v="0"/>
    <n v="0"/>
    <s v="S5"/>
    <s v="TUDCREATION"/>
    <x v="0"/>
    <s v="NAGMR-VSI-J-Category-87"/>
    <d v="2026-02-21T18:53:41"/>
    <d v="2026-02-21T20:09:38"/>
    <d v="1899-12-30T01:15:57"/>
    <s v="ARTICLE Count"/>
    <n v="1"/>
    <n v="1"/>
    <d v="1899-12-30T01:00:00"/>
    <n v="1"/>
    <s v="VSI"/>
    <d v="1899-12-30T07:00:00"/>
    <s v="NAGMR"/>
    <s v="journals"/>
    <s v="SECOND SHIFT DP WFO"/>
    <s v="SSDWFO"/>
    <s v="-"/>
    <s v="Novice"/>
  </r>
  <r>
    <n v="23044"/>
    <x v="20"/>
    <n v="4175"/>
    <s v="Dhanasekar K"/>
    <n v="3874"/>
    <s v="Saravanan"/>
    <d v="2026-02-21T00:00:00"/>
    <s v="NAGMR"/>
    <s v="XML"/>
    <s v="TEAM-17"/>
    <s v="KISU"/>
    <n v="101"/>
    <n v="0"/>
    <n v="0"/>
    <n v="0"/>
    <s v="S5"/>
    <s v="TUDCREATION"/>
    <x v="0"/>
    <s v="NAGMR-VSI-J-Category-101"/>
    <d v="2026-02-21T16:17:25"/>
    <d v="2026-02-21T16:35:50"/>
    <d v="1899-12-30T00:18:25"/>
    <s v="ARTICLE Count"/>
    <n v="1"/>
    <n v="1"/>
    <d v="1899-12-30T01:00:00"/>
    <n v="1"/>
    <s v="VSI"/>
    <d v="1899-12-30T07:00:00"/>
    <s v="NAGMR"/>
    <s v="journals"/>
    <s v="SECOND SHIFT DP WFO"/>
    <s v="SSDWFO"/>
    <s v="-"/>
    <s v="Novice"/>
  </r>
  <r>
    <n v="23044"/>
    <x v="20"/>
    <n v="4175"/>
    <s v="Dhanasekar K"/>
    <n v="3874"/>
    <s v="Saravanan"/>
    <d v="2026-02-21T00:00:00"/>
    <s v="NAGMR"/>
    <s v="XML"/>
    <s v="TEAM-17"/>
    <s v="KISU"/>
    <n v="100"/>
    <n v="0"/>
    <n v="0"/>
    <n v="0"/>
    <s v="S5"/>
    <s v="TUDCREATION"/>
    <x v="0"/>
    <s v="NAGMR-VSI-J-Category-101"/>
    <d v="2026-02-21T15:32:52"/>
    <d v="2026-02-21T16:10:32"/>
    <d v="1899-12-30T00:37:40"/>
    <s v="ARTICLE Count"/>
    <n v="1"/>
    <n v="1"/>
    <d v="1899-12-30T01:00:00"/>
    <n v="1"/>
    <s v="VSI"/>
    <d v="1899-12-30T07:00:00"/>
    <s v="NAGMR"/>
    <s v="journals"/>
    <s v="SECOND SHIFT DP WFO"/>
    <s v="SSDWFO"/>
    <s v="-"/>
    <s v="Novice"/>
  </r>
  <r>
    <n v="23044"/>
    <x v="20"/>
    <n v="4175"/>
    <s v="Dhanasekar K"/>
    <n v="3874"/>
    <s v="Saravanan"/>
    <d v="2026-02-21T00:00:00"/>
    <s v="NAGMR"/>
    <s v="XML"/>
    <s v="TEAM-19"/>
    <s v="JVIR"/>
    <n v="108584"/>
    <n v="0"/>
    <n v="0"/>
    <n v="0"/>
    <s v="S5"/>
    <s v="TUDCREATION"/>
    <x v="0"/>
    <s v="NAGMR-VSI-J-Category-96"/>
    <d v="2026-02-12T13:11:24"/>
    <d v="2026-02-21T16:17:09"/>
    <d v="1899-12-30T00:57:52"/>
    <s v="ARTICLE Count"/>
    <n v="1"/>
    <n v="2"/>
    <d v="1899-12-30T00:30:00"/>
    <n v="0.5"/>
    <s v="VSI"/>
    <d v="1899-12-30T07:00:00"/>
    <s v="NAGMR"/>
    <s v="journals"/>
    <s v="SECOND SHIFT DP WFO"/>
    <s v="SSDWFO"/>
    <s v="-"/>
    <s v="Novice"/>
  </r>
  <r>
    <n v="23044"/>
    <x v="20"/>
    <n v="4175"/>
    <s v="Dhanasekar K"/>
    <n v="3874"/>
    <s v="Saravanan"/>
    <d v="2026-02-21T00:00:00"/>
    <s v="NAGMR"/>
    <s v="XML"/>
    <s v="TEAM-18"/>
    <s v="IGIE"/>
    <n v="372"/>
    <n v="0"/>
    <n v="0"/>
    <n v="0"/>
    <s v="S5"/>
    <s v="TUDCREATION"/>
    <x v="0"/>
    <s v="NAGMR-VSI-J-DEFAULT"/>
    <d v="2026-02-21T14:54:23"/>
    <d v="2026-02-21T15:32:33"/>
    <d v="1899-12-30T00:38:10"/>
    <s v="ARTICLE Count"/>
    <n v="1"/>
    <n v="2"/>
    <d v="1899-12-30T00:30:00"/>
    <n v="0.5"/>
    <s v="VSI"/>
    <d v="1899-12-30T07:00:00"/>
    <s v="NAGMR"/>
    <s v="journals"/>
    <s v="SECOND SHIFT DP WFO"/>
    <s v="SSDWFO"/>
    <s v="-"/>
    <s v="Novice"/>
  </r>
  <r>
    <n v="23044"/>
    <x v="20"/>
    <n v="4175"/>
    <s v="Dhanasekar K"/>
    <n v="3874"/>
    <s v="Saravanan"/>
    <d v="2026-02-21T00:00:00"/>
    <s v="NAGMR"/>
    <s v="XML"/>
    <s v="TEAM-17"/>
    <s v="KISU"/>
    <n v="99"/>
    <n v="0"/>
    <n v="0"/>
    <n v="0"/>
    <s v="S5"/>
    <s v="TUDCREATION"/>
    <x v="0"/>
    <s v="NAGMR-VSI-J-Category-101"/>
    <d v="2026-02-21T14:17:58"/>
    <d v="2026-02-21T14:53:36"/>
    <d v="1899-12-30T00:35:38"/>
    <s v="ARTICLE Count"/>
    <n v="1"/>
    <n v="1"/>
    <d v="1899-12-30T01:00:00"/>
    <n v="1"/>
    <s v="VSI"/>
    <d v="1899-12-30T07:00:00"/>
    <s v="NAGMR"/>
    <s v="journals"/>
    <s v="SECOND SHIFT DP WFO"/>
    <s v="SSDWFO"/>
    <s v="-"/>
    <s v="Novice"/>
  </r>
  <r>
    <n v="23046"/>
    <x v="21"/>
    <n v="22541"/>
    <s v="Senthilraj"/>
    <n v="3874"/>
    <s v="Saravanan"/>
    <d v="2026-02-21T00:00:00"/>
    <s v="NAGMR"/>
    <s v="XML"/>
    <s v="TEAM-09"/>
    <s v="JAH"/>
    <n v="13242"/>
    <n v="0"/>
    <n v="0"/>
    <n v="0"/>
    <s v="S5"/>
    <s v="PROCESSTUDXML"/>
    <x v="0"/>
    <s v="NAGMR-CBE-J-DEFAULT"/>
    <d v="2026-02-20T12:49:04"/>
    <d v="2026-02-21T16:16:44"/>
    <d v="1899-12-30T01:50:28"/>
    <s v="ARTICLE Count"/>
    <n v="1"/>
    <n v="1.5"/>
    <d v="1899-12-30T00:40:00"/>
    <n v="0.67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14"/>
    <s v="WNEU"/>
    <n v="124888"/>
    <n v="0"/>
    <n v="0"/>
    <n v="0"/>
    <s v="S100"/>
    <s v="PREEDIT"/>
    <x v="0"/>
    <s v="NAGMR-CBE-J-Category-123"/>
    <d v="2026-02-21T06:12:25"/>
    <d v="2026-02-21T06:36:17"/>
    <d v="1899-12-30T00:23:52"/>
    <s v="MS Pages"/>
    <n v="22"/>
    <n v="60"/>
    <d v="1899-12-30T00:22:00"/>
    <n v="0.37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09"/>
    <s v="JAH"/>
    <n v="13245"/>
    <s v="&quot;"/>
    <n v="0"/>
    <s v="Youth"/>
    <s v="S100"/>
    <s v="PREEDIT"/>
    <x v="0"/>
    <s v="NAGMR-CBE-J-DEFAULT"/>
    <d v="2026-02-21T18:05:02"/>
    <d v="2026-02-21T18:12:14"/>
    <d v="1899-12-30T00:07:12"/>
    <s v="MS Pages"/>
    <n v="5"/>
    <n v="50"/>
    <d v="1899-12-30T00:06:00"/>
    <n v="0.1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09"/>
    <s v="JAH"/>
    <n v="13242"/>
    <n v="0"/>
    <n v="0"/>
    <n v="0"/>
    <s v="S100"/>
    <s v="PREEDIT"/>
    <x v="0"/>
    <s v="NAGMR-CBE-J-DEFAULT"/>
    <d v="2026-02-21T16:16:50"/>
    <d v="2026-02-21T16:29:44"/>
    <d v="1899-12-30T00:12:54"/>
    <s v="MS Pages"/>
    <n v="19"/>
    <n v="50"/>
    <d v="1899-12-30T00:22:48"/>
    <n v="0.38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09"/>
    <s v="JAH"/>
    <n v="13245"/>
    <s v="&quot;"/>
    <n v="0"/>
    <s v="Youth"/>
    <s v="S5"/>
    <s v="PROCESSTUDXML"/>
    <x v="0"/>
    <s v="NAGMR-CBE-J-DEFAULT"/>
    <d v="2026-02-21T17:19:22"/>
    <d v="2026-02-21T18:04:49"/>
    <d v="1899-12-30T00:45:27"/>
    <s v="ARTICLE Count"/>
    <n v="1"/>
    <n v="1.5"/>
    <d v="1899-12-30T00:40:00"/>
    <n v="0.67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05"/>
    <s v="YJSRE"/>
    <n v="19962"/>
    <n v="0"/>
    <n v="0"/>
    <n v="0"/>
    <s v="S5"/>
    <s v="PROCESSTUDXML"/>
    <x v="0"/>
    <s v="NAGMR-CBE-J-Category-123"/>
    <d v="2026-02-21T08:59:20"/>
    <d v="2026-02-21T15:14:49"/>
    <d v="1899-12-30T01:11:45"/>
    <s v="ARTICLE Count"/>
    <n v="1"/>
    <n v="1"/>
    <d v="1899-12-30T01:00:00"/>
    <n v="1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05"/>
    <s v="YJSRE"/>
    <n v="19962"/>
    <n v="0"/>
    <n v="0"/>
    <n v="0"/>
    <s v="S100"/>
    <s v="PREEDIT"/>
    <x v="0"/>
    <s v="NAGMR-CBE-J-Category-123"/>
    <d v="2026-02-21T17:10:26"/>
    <d v="2026-02-21T17:19:17"/>
    <d v="1899-12-30T00:08:51"/>
    <s v="MS Pages"/>
    <n v="17"/>
    <n v="60"/>
    <d v="1899-12-30T00:17:00"/>
    <n v="0.28000000000000003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13"/>
    <s v="XOPS"/>
    <n v="101126"/>
    <n v="0"/>
    <n v="0"/>
    <n v="0"/>
    <s v="S100"/>
    <s v="PREEDIT"/>
    <x v="0"/>
    <s v="NAGMR-CBE-J-Category-123"/>
    <d v="2026-02-21T15:43:13"/>
    <d v="2026-02-21T16:07:03"/>
    <d v="1899-12-30T00:23:50"/>
    <s v="MS Pages"/>
    <n v="28"/>
    <n v="60"/>
    <d v="1899-12-30T00:28:00"/>
    <n v="0.47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05"/>
    <s v="YJSRE"/>
    <n v="19961"/>
    <n v="0"/>
    <n v="0"/>
    <n v="0"/>
    <s v="S100"/>
    <s v="PREEDIT"/>
    <x v="0"/>
    <s v="NAGMR-CBE-J-Category-123"/>
    <d v="2026-02-21T16:29:58"/>
    <d v="2026-02-21T17:10:14"/>
    <d v="1899-12-30T00:40:16"/>
    <s v="MS Pages"/>
    <n v="21"/>
    <n v="60"/>
    <d v="1899-12-30T00:21:00"/>
    <n v="0.35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13"/>
    <s v="XOPS"/>
    <n v="101127"/>
    <n v="0"/>
    <n v="0"/>
    <n v="0"/>
    <s v="S100"/>
    <s v="PREEDIT"/>
    <x v="0"/>
    <s v="NAGMR-CBE-J-Category-123"/>
    <d v="2026-02-20T18:15:52"/>
    <d v="2026-02-21T15:43:06"/>
    <d v="1899-12-30T00:28:25"/>
    <s v="MS Pages"/>
    <n v="25"/>
    <n v="60"/>
    <d v="1899-12-30T00:25:00"/>
    <n v="0.42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13"/>
    <s v="XOPS"/>
    <n v="101126"/>
    <n v="0"/>
    <n v="0"/>
    <n v="0"/>
    <s v="S5"/>
    <s v="TUDCREATION"/>
    <x v="0"/>
    <s v="NAGMR-CBE-J-Category-123"/>
    <d v="2026-02-21T06:36:43"/>
    <d v="2026-02-21T07:31:45"/>
    <d v="1899-12-30T00:55:02"/>
    <s v="ARTICLE Count"/>
    <n v="1"/>
    <n v="1"/>
    <d v="1899-12-30T01:00:00"/>
    <n v="1"/>
    <s v="CBE"/>
    <d v="1899-12-30T06:41:48"/>
    <s v="NAGMR"/>
    <s v="journals"/>
    <s v="FIRST SHIFT DP WFH"/>
    <s v="FSDWFH"/>
    <s v="-"/>
    <s v="Novice"/>
  </r>
  <r>
    <n v="23046"/>
    <x v="21"/>
    <n v="22541"/>
    <s v="Senthilraj"/>
    <n v="3874"/>
    <s v="Saravanan"/>
    <d v="2026-02-21T00:00:00"/>
    <s v="NAGMR"/>
    <s v="XML"/>
    <s v="TEAM-05"/>
    <s v="YJSRE"/>
    <n v="19961"/>
    <n v="0"/>
    <n v="0"/>
    <n v="0"/>
    <s v="S5"/>
    <s v="PROCESSTUDXML"/>
    <x v="0"/>
    <s v="NAGMR-CBE-J-Category-123"/>
    <d v="2026-02-21T07:31:58"/>
    <d v="2026-02-21T08:59:02"/>
    <d v="1899-12-30T01:27:04"/>
    <s v="ARTICLE Count"/>
    <n v="1"/>
    <n v="1"/>
    <d v="1899-12-30T01:00:00"/>
    <n v="1"/>
    <s v="CBE"/>
    <d v="1899-12-30T06:41:48"/>
    <s v="NAGMR"/>
    <s v="journals"/>
    <s v="FIRST SHIFT DP WFH"/>
    <s v="FSDWFH"/>
    <s v="-"/>
    <s v="Novice"/>
  </r>
  <r>
    <n v="23047"/>
    <x v="22"/>
    <n v="22541"/>
    <s v="Senthilraj"/>
    <n v="3874"/>
    <s v="Saravanan"/>
    <d v="2026-02-21T00:00:00"/>
    <s v="NAGMR"/>
    <s v="XML"/>
    <s v="TEAM-10"/>
    <s v="YARTH"/>
    <n v="62367"/>
    <n v="0"/>
    <n v="0"/>
    <n v="0"/>
    <s v="S5"/>
    <s v="PROCESSTUDXML"/>
    <x v="1"/>
    <s v="NAGMR-CBE-J-DEFAULT"/>
    <d v="2026-02-20T13:49:40"/>
    <d v="2026-02-20T13:54:54"/>
    <d v="1899-12-30T00:03:21"/>
    <s v="ARTICLE Count"/>
    <n v="1"/>
    <n v="1.5"/>
    <d v="1899-12-30T00:03:21"/>
    <n v="0.67"/>
    <s v="CBE"/>
    <d v="1899-12-30T00:03:21"/>
    <s v="NAGMR"/>
    <s v="journals"/>
    <s v="SECOND SHIFT DP WFO"/>
    <s v="SSDWFO"/>
    <s v="-"/>
    <s v="Novice"/>
  </r>
  <r>
    <n v="23149"/>
    <x v="23"/>
    <n v="17397"/>
    <s v="Balaji A"/>
    <m/>
    <s v="-"/>
    <d v="2026-02-21T00:00:00"/>
    <s v="NAGMR"/>
    <s v="XML"/>
    <s v="TEAM-17"/>
    <s v="CHSTCC"/>
    <n v="100251"/>
    <n v="0"/>
    <n v="0"/>
    <n v="0"/>
    <s v="S5"/>
    <s v="TUDCREATION"/>
    <x v="0"/>
    <s v="NAGMR-VSI-J-Category-24"/>
    <d v="2026-02-21T12:09:03"/>
    <d v="2026-02-21T12:19:22"/>
    <d v="1899-12-30T00:10:19"/>
    <s v="ARTICLE Count"/>
    <n v="1"/>
    <n v="2"/>
    <d v="1899-12-30T00:30:00"/>
    <n v="0.5"/>
    <s v="VSI"/>
    <d v="1899-12-30T02:00:00"/>
    <s v="NAGMR"/>
    <s v="journals"/>
    <s v="GENERAL SATURDAY SHIFT DP WFH"/>
    <s v="GSSDWFH"/>
    <s v="-"/>
    <s v="Practitioner"/>
  </r>
  <r>
    <n v="23149"/>
    <x v="23"/>
    <n v="17397"/>
    <s v="Balaji A"/>
    <m/>
    <s v="-"/>
    <d v="2026-02-21T00:00:00"/>
    <s v="NAGMR"/>
    <s v="XML"/>
    <s v="TEAM-22"/>
    <s v="YJHSU"/>
    <n v="57741"/>
    <n v="0"/>
    <n v="0"/>
    <n v="0"/>
    <s v="S5"/>
    <s v="TUDCREATION"/>
    <x v="0"/>
    <s v="NAGMR-VSI-J-Category-148"/>
    <d v="2026-02-21T11:07:19"/>
    <d v="2026-02-21T12:08:45"/>
    <d v="1899-12-30T01:01:26"/>
    <s v="ARTICLE Count"/>
    <n v="1"/>
    <n v="2"/>
    <d v="1899-12-30T00:30:00"/>
    <n v="0.5"/>
    <s v="VSI"/>
    <d v="1899-12-30T02:00:00"/>
    <s v="NAGMR"/>
    <s v="journals"/>
    <s v="GENERAL SATURDAY SHIFT DP WFH"/>
    <s v="GSSDWFH"/>
    <s v="-"/>
    <s v="Practitioner"/>
  </r>
  <r>
    <n v="23149"/>
    <x v="23"/>
    <n v="17397"/>
    <s v="Balaji A"/>
    <m/>
    <s v="-"/>
    <d v="2026-02-21T00:00:00"/>
    <s v="NAGMR"/>
    <s v="XML"/>
    <s v="TEAM-17"/>
    <s v="CHPULM"/>
    <n v="100239"/>
    <n v="0"/>
    <n v="0"/>
    <n v="0"/>
    <s v="S5"/>
    <s v="TUDCREATION"/>
    <x v="0"/>
    <s v="NAGMR-VSI-J-Category-24"/>
    <d v="2026-02-21T09:03:09"/>
    <d v="2026-02-21T09:34:32"/>
    <d v="1899-12-30T00:31:23"/>
    <s v="ARTICLE Count"/>
    <n v="1"/>
    <n v="2"/>
    <d v="1899-12-30T00:30:00"/>
    <n v="0.5"/>
    <s v="VSI"/>
    <d v="1899-12-30T02:00:00"/>
    <s v="NAGMR"/>
    <s v="journals"/>
    <s v="GENERAL SATURDAY SHIFT DP WFH"/>
    <s v="GSSDWFH"/>
    <s v="-"/>
    <s v="Practitioner"/>
  </r>
  <r>
    <n v="23149"/>
    <x v="23"/>
    <n v="17397"/>
    <s v="Balaji A"/>
    <m/>
    <s v="-"/>
    <d v="2026-02-21T00:00:00"/>
    <s v="NAGMR"/>
    <s v="XML"/>
    <s v="TEAM-17"/>
    <s v="CHPULM"/>
    <n v="100240"/>
    <n v="0"/>
    <n v="0"/>
    <n v="0"/>
    <s v="S5"/>
    <s v="TUDCREATION"/>
    <x v="0"/>
    <s v="NAGMR-VSI-J-Category-24"/>
    <d v="2026-02-21T09:35:01"/>
    <d v="2026-02-21T10:45:12"/>
    <d v="1899-12-30T01:10:11"/>
    <s v="ARTICLE Count"/>
    <n v="1"/>
    <n v="2"/>
    <d v="1899-12-30T00:30:00"/>
    <n v="0.5"/>
    <s v="VSI"/>
    <d v="1899-12-30T02:00:00"/>
    <s v="NAGMR"/>
    <s v="journals"/>
    <s v="GENERAL SATURDAY SHIFT DP WFH"/>
    <s v="GSSDWFH"/>
    <s v="-"/>
    <s v="Practitioner"/>
  </r>
  <r>
    <n v="7634"/>
    <x v="24"/>
    <n v="3874"/>
    <s v="Saravanan"/>
    <n v="3874"/>
    <s v="Saravanan"/>
    <d v="2026-02-21T00:00:00"/>
    <s v="NAGMR"/>
    <s v="XML"/>
    <s v="TEAM-09"/>
    <s v="YMEN"/>
    <n v="4439"/>
    <n v="0"/>
    <n v="0"/>
    <n v="0"/>
    <s v="S100"/>
    <s v="CEXMLQC"/>
    <x v="0"/>
    <s v="NAGMR-VSI-J-Category-155"/>
    <d v="2026-02-21T07:56:51"/>
    <d v="2026-02-21T07:58:11"/>
    <d v="1899-12-30T00:01:20"/>
    <s v="ARTICLE Count"/>
    <n v="1"/>
    <n v="60"/>
    <d v="1899-12-30T00:01:00"/>
    <n v="0.02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1"/>
    <s v="LANHL"/>
    <n v="100828"/>
    <n v="0"/>
    <n v="0"/>
    <n v="0"/>
    <s v="S100"/>
    <s v="S100ACTXMLERROR"/>
    <x v="0"/>
    <s v="NAGMR-VSI-J-Category-123"/>
    <d v="2026-02-21T13:10:08"/>
    <d v="2026-02-21T14:27:42"/>
    <d v="1899-12-30T00:07:24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07"/>
    <s v="NEUROM"/>
    <n v="830"/>
    <n v="0"/>
    <n v="0"/>
    <n v="0"/>
    <s v="S100"/>
    <s v="S100ACTXMLERROR"/>
    <x v="0"/>
    <s v="NAGMR-VSI-J-DEFAULT"/>
    <d v="2026-02-21T12:27:51"/>
    <d v="2026-02-21T12:40:08"/>
    <d v="1899-12-30T00:08:39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22"/>
    <s v="ATSSR"/>
    <n v="858"/>
    <n v="0"/>
    <n v="0"/>
    <n v="0"/>
    <s v="S100"/>
    <s v="S100ACTXMLERROR"/>
    <x v="1"/>
    <s v="NAGMR-VSI-J-DEFAULT"/>
    <d v="2026-02-21T12:35:57"/>
    <d v="2026-02-21T12:36:13"/>
    <d v="1899-12-30T00:00:16"/>
    <s v="ARTICLE Count"/>
    <n v="1"/>
    <n v="12"/>
    <d v="1899-12-30T00:00:16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1"/>
    <s v="LANMIC"/>
    <n v="101373"/>
    <n v="0"/>
    <n v="0"/>
    <n v="0"/>
    <s v="S100"/>
    <s v="S100ACTXMLERROR"/>
    <x v="0"/>
    <s v="NAGMR-VSI-J-Category-123"/>
    <d v="2026-02-21T11:05:00"/>
    <d v="2026-02-21T11:30:55"/>
    <d v="1899-12-30T00:01:12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20"/>
    <s v="BLOOD"/>
    <n v="3967"/>
    <n v="0"/>
    <n v="0"/>
    <n v="0"/>
    <s v="S100"/>
    <s v="S100ACTXMLERROR"/>
    <x v="0"/>
    <s v="NAGMR-VSI-J-Category-20"/>
    <d v="2026-02-21T11:02:43"/>
    <d v="2026-02-21T12:15:24"/>
    <d v="1899-12-30T00:01:45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02"/>
    <s v="XFRE"/>
    <n v="570"/>
    <n v="0"/>
    <n v="0"/>
    <n v="0"/>
    <s v="S100"/>
    <s v="REF-QA"/>
    <x v="0"/>
    <s v="NAGMR-CBE-J-DEFAULT"/>
    <d v="2026-02-21T07:57:40"/>
    <d v="2026-02-21T07:57:46"/>
    <d v="1899-12-30T00:00:06"/>
    <s v="ARTICLE Count"/>
    <n v="1"/>
    <n v="30"/>
    <d v="1899-12-30T00:02:00"/>
    <n v="0.03"/>
    <s v="CBE"/>
    <d v="1899-12-30T01:19:39"/>
    <s v="NAGMR"/>
    <s v="journals"/>
    <s v="GENERAL SATURDAY SHIFT NP WFO"/>
    <s v="GSSNWFO"/>
    <s v="-"/>
    <s v="Practitioner"/>
  </r>
  <r>
    <n v="7634"/>
    <x v="24"/>
    <n v="3874"/>
    <s v="Saravanan"/>
    <n v="3874"/>
    <s v="Saravanan"/>
    <d v="2026-02-21T00:00:00"/>
    <s v="NAGMR"/>
    <s v="XML"/>
    <s v="TEAM-15"/>
    <s v="CJCO"/>
    <n v="1224"/>
    <n v="0"/>
    <n v="0"/>
    <n v="0"/>
    <s v="S100"/>
    <s v="S100ACTXMLERROR"/>
    <x v="0"/>
    <s v="NAGMR-VSI-J-Category-27"/>
    <d v="2026-02-21T12:37:33"/>
    <d v="2026-02-21T13:28:45"/>
    <d v="1899-12-30T00:00:50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20"/>
    <s v="BVTH"/>
    <n v="100146"/>
    <n v="0"/>
    <n v="0"/>
    <n v="0"/>
    <s v="S100"/>
    <s v="REF-QA"/>
    <x v="0"/>
    <s v="NAGMR-VSI-J-Category-123"/>
    <d v="2026-02-21T12:26:41"/>
    <d v="2026-02-21T12:27:21"/>
    <d v="1899-12-30T00:00:40"/>
    <s v="ARTICLE Count"/>
    <n v="1"/>
    <n v="30"/>
    <d v="1899-12-30T00:02:00"/>
    <n v="0.03"/>
    <s v="VSI"/>
    <d v="1899-12-30T01:19:39"/>
    <s v="NAGMR"/>
    <s v="journals"/>
    <s v="GENERAL SATURDAY SHIFT NP WFO"/>
    <s v="GSSNWFO"/>
    <s v="-"/>
    <s v="Practitioner"/>
  </r>
  <r>
    <n v="7634"/>
    <x v="24"/>
    <n v="3874"/>
    <s v="Saravanan"/>
    <n v="3874"/>
    <s v="Saravanan"/>
    <d v="2026-02-21T00:00:00"/>
    <s v="NAGMR"/>
    <s v="XML"/>
    <s v="TEAM-20"/>
    <s v="BLOODA"/>
    <n v="3888"/>
    <n v="0"/>
    <n v="0"/>
    <n v="0"/>
    <s v="S100"/>
    <s v="S100ACTXMLERROR"/>
    <x v="0"/>
    <s v="NAGMR-VSI-J-Category-123"/>
    <d v="2026-02-21T11:04:04"/>
    <d v="2026-02-21T12:22:21"/>
    <d v="1899-12-30T00:01:05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09"/>
    <s v="JAPHPI"/>
    <n v="100104"/>
    <n v="0"/>
    <n v="0"/>
    <n v="0"/>
    <s v="S100"/>
    <s v="S100ACTXMLERROR"/>
    <x v="0"/>
    <s v="NAGMR-VSI-J-Category-62"/>
    <d v="2026-02-21T13:30:19"/>
    <d v="2026-02-21T14:09:58"/>
    <d v="1899-12-30T00:00:54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6"/>
    <s v="JACBTS"/>
    <n v="101514"/>
    <n v="0"/>
    <n v="0"/>
    <n v="0"/>
    <s v="S100"/>
    <s v="S100ACTXMLERROR"/>
    <x v="0"/>
    <s v="NAGMR-VSI-J-Category-53"/>
    <d v="2026-02-21T13:00:26"/>
    <d v="2026-02-21T13:07:34"/>
    <d v="1899-12-30T00:07:08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1"/>
    <s v="LANMIC"/>
    <n v="101362"/>
    <n v="0"/>
    <n v="0"/>
    <n v="0"/>
    <s v="S100"/>
    <s v="S100ACTXMLERROR"/>
    <x v="0"/>
    <s v="NAGMR-VSI-J-Category-123"/>
    <d v="2026-02-21T11:01:01"/>
    <d v="2026-02-21T11:17:12"/>
    <d v="1899-12-30T00:02:04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7"/>
    <s v="CHEST"/>
    <n v="7328"/>
    <n v="0"/>
    <n v="0"/>
    <n v="0"/>
    <s v="S100"/>
    <s v="CEXMLQC"/>
    <x v="0"/>
    <s v="NAGMR-VSI-J-Category-24"/>
    <d v="2026-02-21T12:25:38"/>
    <d v="2026-02-21T12:26:17"/>
    <d v="1899-12-30T00:00:39"/>
    <s v="ARTICLE Count"/>
    <n v="1"/>
    <n v="60"/>
    <d v="1899-12-30T00:01:00"/>
    <n v="0.02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07"/>
    <s v="ESMORW"/>
    <n v="100690"/>
    <n v="0"/>
    <n v="0"/>
    <n v="0"/>
    <s v="S100"/>
    <s v="REF-QA"/>
    <x v="0"/>
    <s v="NAGMR-VSI-J-Category-123"/>
    <d v="2026-02-21T07:56:42"/>
    <d v="2026-02-21T07:56:47"/>
    <d v="1899-12-30T00:00:05"/>
    <s v="ARTICLE Count"/>
    <n v="1"/>
    <n v="30"/>
    <d v="1899-12-30T00:02:00"/>
    <n v="0.03"/>
    <s v="VSI"/>
    <d v="1899-12-30T01:19:39"/>
    <s v="NAGMR"/>
    <s v="journals"/>
    <s v="GENERAL SATURDAY SHIFT NP WFO"/>
    <s v="GSSNWFO"/>
    <s v="-"/>
    <s v="Practitioner"/>
  </r>
  <r>
    <n v="7634"/>
    <x v="24"/>
    <n v="3874"/>
    <s v="Saravanan"/>
    <n v="3874"/>
    <s v="Saravanan"/>
    <d v="2026-02-21T00:00:00"/>
    <s v="NAGMR"/>
    <s v="XML"/>
    <s v="TEAM-15"/>
    <s v="PIQO"/>
    <n v="100708"/>
    <n v="0"/>
    <n v="0"/>
    <n v="0"/>
    <s v="S100"/>
    <s v="S100ACTXMLERROR"/>
    <x v="0"/>
    <s v="NAGMR-VSI-J-Category-112"/>
    <d v="2026-02-21T13:27:40"/>
    <d v="2026-02-21T13:31:33"/>
    <d v="1899-12-30T00:00:56"/>
    <s v="ARTICLE Count"/>
    <n v="1"/>
    <n v="5"/>
    <d v="1899-12-30T00:12:00"/>
    <n v="0.2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5"/>
    <s v="PIQO"/>
    <n v="100708"/>
    <n v="0"/>
    <n v="0"/>
    <n v="0"/>
    <s v="S100"/>
    <s v="REF-QA"/>
    <x v="0"/>
    <s v="NAGMR-VSI-J-Category-112"/>
    <d v="2026-02-21T14:09:04"/>
    <d v="2026-02-21T14:09:08"/>
    <d v="1899-12-30T00:00:04"/>
    <s v="ARTICLE Count"/>
    <n v="1"/>
    <n v="30"/>
    <d v="1899-12-30T00:02:00"/>
    <n v="0.03"/>
    <s v="VSI"/>
    <d v="1899-12-30T01:19:39"/>
    <s v="NAGMR"/>
    <s v="journals"/>
    <s v="GENERAL SATURDAY SHIFT NP WFO"/>
    <s v="GSSNWFO"/>
    <s v="-"/>
    <s v="Practitioner"/>
  </r>
  <r>
    <n v="7634"/>
    <x v="24"/>
    <n v="3874"/>
    <s v="Saravanan"/>
    <n v="3874"/>
    <s v="Saravanan"/>
    <d v="2026-02-21T00:00:00"/>
    <s v="NAGMR"/>
    <s v="XML"/>
    <s v="TEAM-07"/>
    <s v="JTHA"/>
    <n v="1400"/>
    <n v="0"/>
    <n v="0"/>
    <n v="0"/>
    <s v="S100"/>
    <s v="S100ACTXMLERROR"/>
    <x v="1"/>
    <s v="NAGMR-VSI-J-Category-9"/>
    <d v="2026-02-21T13:08:51"/>
    <d v="2026-02-21T13:09:14"/>
    <d v="1899-12-30T00:00:23"/>
    <s v="ARTICLE Count"/>
    <n v="1"/>
    <n v="12"/>
    <d v="1899-12-30T00:00:23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7"/>
    <s v="EKIR"/>
    <n v="106351"/>
    <n v="0"/>
    <n v="0"/>
    <n v="0"/>
    <s v="S100"/>
    <s v="S100ACTXMLERROR"/>
    <x v="0"/>
    <s v="NAGMR-VSI-J-Category-36"/>
    <d v="2026-02-21T13:29:59"/>
    <d v="2026-02-21T14:07:16"/>
    <d v="1899-12-30T00:02:10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5"/>
    <s v="CJCO"/>
    <n v="1225"/>
    <n v="0"/>
    <n v="0"/>
    <n v="0"/>
    <s v="S100"/>
    <s v="S100ACTXMLERROR"/>
    <x v="0"/>
    <s v="NAGMR-VSI-J-Category-27"/>
    <d v="2026-02-21T13:17:47"/>
    <d v="2026-02-21T13:22:51"/>
    <d v="1899-12-30T00:00:57"/>
    <s v="ARTICLE Count"/>
    <n v="1"/>
    <n v="12"/>
    <d v="1899-12-30T00:05:00"/>
    <n v="0.08"/>
    <s v="VSI"/>
    <d v="1899-12-30T01:19:39"/>
    <s v="NAGMR"/>
    <s v="journals"/>
    <s v="GENERAL SATURDAY SHIFT NP WFO"/>
    <s v="GSSNWFO"/>
    <s v="-"/>
    <s v="Expert"/>
  </r>
  <r>
    <n v="7634"/>
    <x v="24"/>
    <n v="3874"/>
    <s v="Saravanan"/>
    <n v="3874"/>
    <s v="Saravanan"/>
    <d v="2026-02-21T00:00:00"/>
    <s v="NAGMR"/>
    <s v="XML"/>
    <s v="TEAM-17"/>
    <s v="CHSTCC"/>
    <n v="100248"/>
    <n v="0"/>
    <n v="0"/>
    <n v="0"/>
    <s v="S100"/>
    <s v="REF-QA"/>
    <x v="0"/>
    <s v="NAGMR-VSI-J-Category-24"/>
    <d v="2026-02-21T07:56:09"/>
    <d v="2026-02-21T07:56:25"/>
    <d v="1899-12-30T00:00:16"/>
    <s v="ARTICLE Count"/>
    <n v="1"/>
    <n v="30"/>
    <d v="1899-12-30T00:02:00"/>
    <n v="0.03"/>
    <s v="VSI"/>
    <d v="1899-12-30T01:19:39"/>
    <s v="NAGMR"/>
    <s v="journals"/>
    <s v="GENERAL SATURDAY SHIFT NP WFO"/>
    <s v="GSSNWFO"/>
    <s v="-"/>
    <s v="Practitioner"/>
  </r>
  <r>
    <n v="20845"/>
    <x v="3"/>
    <m/>
    <m/>
    <m/>
    <m/>
    <m/>
    <m/>
    <m/>
    <m/>
    <s v="YMSY"/>
    <n v="110139"/>
    <n v="0"/>
    <n v="0"/>
    <n v="0"/>
    <s v="S100"/>
    <s v="PREEDIT"/>
    <x v="2"/>
    <m/>
    <d v="2026-02-21T09:39:30"/>
    <d v="2026-02-21T09:39:39"/>
    <d v="1899-12-30T00:00:09"/>
    <m/>
    <m/>
    <m/>
    <d v="1899-12-30T00:00:09"/>
    <m/>
    <m/>
    <m/>
    <m/>
    <m/>
    <m/>
    <m/>
    <m/>
    <s v="Practitioner"/>
  </r>
  <r>
    <n v="20845"/>
    <x v="3"/>
    <m/>
    <m/>
    <m/>
    <m/>
    <m/>
    <m/>
    <m/>
    <m/>
    <s v="YMSY"/>
    <n v="110139"/>
    <n v="0"/>
    <n v="0"/>
    <n v="0"/>
    <s v="S5"/>
    <s v="PROCESSTUDXML"/>
    <x v="2"/>
    <m/>
    <d v="2026-02-21T09:32:13"/>
    <d v="2026-02-21T09:39:25"/>
    <d v="1899-12-30T00:07:12"/>
    <m/>
    <m/>
    <m/>
    <d v="1899-12-30T00:07:12"/>
    <m/>
    <m/>
    <m/>
    <m/>
    <m/>
    <m/>
    <m/>
    <m/>
    <s v="Practitioner"/>
  </r>
  <r>
    <n v="20845"/>
    <x v="3"/>
    <m/>
    <m/>
    <m/>
    <m/>
    <m/>
    <m/>
    <m/>
    <m/>
    <s v="JTOCRR"/>
    <n v="100967"/>
    <n v="0"/>
    <n v="0"/>
    <n v="0"/>
    <s v="S100"/>
    <s v="SXML"/>
    <x v="2"/>
    <m/>
    <d v="2026-02-21T00:00:00"/>
    <d v="2026-02-21T13:50:32"/>
    <d v="1899-12-30T00:01:58"/>
    <m/>
    <m/>
    <m/>
    <d v="1899-12-30T00:01:58"/>
    <m/>
    <m/>
    <m/>
    <m/>
    <m/>
    <m/>
    <m/>
    <m/>
    <s v="Practitioner"/>
  </r>
  <r>
    <n v="22541"/>
    <x v="8"/>
    <m/>
    <m/>
    <m/>
    <m/>
    <m/>
    <m/>
    <m/>
    <m/>
    <s v="JAH"/>
    <n v="13203"/>
    <n v="0"/>
    <n v="0"/>
    <n v="0"/>
    <s v="S200"/>
    <s v="CVTCHECK"/>
    <x v="2"/>
    <m/>
    <d v="2026-02-21T10:44:42"/>
    <d v="2026-02-21T10:46:10"/>
    <d v="1899-12-30T00:01:28"/>
    <m/>
    <m/>
    <m/>
    <d v="1899-12-30T00:01:28"/>
    <m/>
    <m/>
    <m/>
    <m/>
    <m/>
    <m/>
    <m/>
    <m/>
    <s v="Practitioner"/>
  </r>
  <r>
    <n v="22602"/>
    <x v="9"/>
    <m/>
    <m/>
    <m/>
    <m/>
    <m/>
    <m/>
    <m/>
    <m/>
    <s v="JASC"/>
    <n v="768"/>
    <n v="0"/>
    <n v="0"/>
    <n v="0"/>
    <s v="S100"/>
    <s v="PREEDIT"/>
    <x v="2"/>
    <m/>
    <d v="2026-02-21T10:00:47"/>
    <d v="2026-02-21T10:00:59"/>
    <d v="1899-12-30T00:00:12"/>
    <m/>
    <m/>
    <m/>
    <d v="1899-12-30T00:00:12"/>
    <m/>
    <m/>
    <m/>
    <m/>
    <m/>
    <m/>
    <m/>
    <m/>
    <s v="Practitioner"/>
  </r>
  <r>
    <n v="22602"/>
    <x v="9"/>
    <m/>
    <m/>
    <m/>
    <m/>
    <m/>
    <m/>
    <m/>
    <m/>
    <s v="YMSY"/>
    <n v="110146"/>
    <n v="0"/>
    <n v="0"/>
    <n v="0"/>
    <s v="S100"/>
    <s v="PREEDIT"/>
    <x v="2"/>
    <m/>
    <d v="2026-02-21T21:16:27"/>
    <d v="2026-02-21T21:16:40"/>
    <d v="1899-12-30T00:00:13"/>
    <m/>
    <m/>
    <m/>
    <d v="1899-12-30T00:00:13"/>
    <m/>
    <m/>
    <m/>
    <m/>
    <m/>
    <m/>
    <m/>
    <m/>
    <s v="Practitioner"/>
  </r>
  <r>
    <n v="22602"/>
    <x v="9"/>
    <m/>
    <m/>
    <m/>
    <m/>
    <m/>
    <m/>
    <m/>
    <m/>
    <s v="YARTH"/>
    <n v="62367"/>
    <n v="0"/>
    <n v="0"/>
    <n v="0"/>
    <s v="S100"/>
    <s v="PREEDIT"/>
    <x v="2"/>
    <m/>
    <d v="2026-02-21T21:15:39"/>
    <d v="2026-02-21T21:15:50"/>
    <d v="1899-12-30T00:00:11"/>
    <m/>
    <m/>
    <m/>
    <d v="1899-12-30T00:00:11"/>
    <m/>
    <m/>
    <m/>
    <m/>
    <m/>
    <m/>
    <m/>
    <m/>
    <s v="Practitioner"/>
  </r>
  <r>
    <n v="22602"/>
    <x v="9"/>
    <m/>
    <m/>
    <m/>
    <m/>
    <m/>
    <m/>
    <m/>
    <m/>
    <s v="JASC"/>
    <n v="768"/>
    <n v="0"/>
    <n v="0"/>
    <n v="0"/>
    <s v="S5"/>
    <s v="PROCESSTUDXML"/>
    <x v="2"/>
    <m/>
    <d v="2026-02-21T09:27:59"/>
    <d v="2026-02-21T10:00:37"/>
    <d v="1899-12-30T00:32:38"/>
    <m/>
    <m/>
    <m/>
    <d v="1899-12-30T00:32:38"/>
    <m/>
    <m/>
    <m/>
    <m/>
    <m/>
    <m/>
    <m/>
    <m/>
    <s v="Practitioner"/>
  </r>
  <r>
    <n v="22602"/>
    <x v="9"/>
    <m/>
    <m/>
    <m/>
    <m/>
    <m/>
    <m/>
    <m/>
    <m/>
    <s v="YMSY"/>
    <n v="110150"/>
    <n v="0"/>
    <n v="0"/>
    <n v="0"/>
    <s v="S5"/>
    <s v="PROCESSTUDXML"/>
    <x v="2"/>
    <m/>
    <d v="2026-02-21T20:53:05"/>
    <d v="2026-02-21T21:14:56"/>
    <d v="1899-12-30T00:21:51"/>
    <m/>
    <m/>
    <m/>
    <d v="1899-12-30T00:21:51"/>
    <m/>
    <m/>
    <m/>
    <m/>
    <m/>
    <m/>
    <m/>
    <m/>
    <s v="Practitioner"/>
  </r>
  <r>
    <n v="22602"/>
    <x v="9"/>
    <m/>
    <m/>
    <m/>
    <m/>
    <m/>
    <m/>
    <m/>
    <m/>
    <s v="YMSY"/>
    <n v="110146"/>
    <n v="0"/>
    <n v="0"/>
    <n v="0"/>
    <s v="S5"/>
    <s v="PROCESSTUDXML"/>
    <x v="2"/>
    <m/>
    <d v="2026-02-21T21:16:11"/>
    <d v="2026-02-21T21:16:24"/>
    <d v="1899-12-30T00:00:13"/>
    <m/>
    <m/>
    <m/>
    <d v="1899-12-30T00:00:13"/>
    <m/>
    <m/>
    <m/>
    <m/>
    <m/>
    <m/>
    <m/>
    <m/>
    <s v="Practitioner"/>
  </r>
  <r>
    <n v="22602"/>
    <x v="9"/>
    <m/>
    <m/>
    <m/>
    <m/>
    <m/>
    <m/>
    <m/>
    <m/>
    <s v="YARTH"/>
    <n v="62367"/>
    <n v="0"/>
    <n v="0"/>
    <n v="0"/>
    <s v="S5"/>
    <s v="PROCESSTUDXML"/>
    <x v="2"/>
    <m/>
    <d v="2026-02-21T08:16:18"/>
    <d v="2026-02-21T21:15:33"/>
    <d v="1899-12-30T01:06:03"/>
    <m/>
    <m/>
    <m/>
    <d v="1899-12-30T01:06:03"/>
    <m/>
    <m/>
    <m/>
    <m/>
    <m/>
    <m/>
    <m/>
    <m/>
    <s v="Practitioner"/>
  </r>
  <r>
    <n v="22602"/>
    <x v="9"/>
    <m/>
    <m/>
    <m/>
    <m/>
    <m/>
    <m/>
    <m/>
    <m/>
    <s v="YMOD"/>
    <n v="8369"/>
    <n v="0"/>
    <n v="0"/>
    <n v="0"/>
    <s v="S5"/>
    <s v="TUDCREATION"/>
    <x v="2"/>
    <m/>
    <d v="2026-02-21T21:54:26"/>
    <d v="2026-02-21T22:21:22"/>
    <d v="1899-12-30T00:10:13"/>
    <m/>
    <m/>
    <m/>
    <d v="1899-12-30T00:10:13"/>
    <m/>
    <m/>
    <m/>
    <m/>
    <m/>
    <m/>
    <m/>
    <m/>
    <s v="Practitioner"/>
  </r>
  <r>
    <n v="20535"/>
    <x v="2"/>
    <m/>
    <m/>
    <m/>
    <m/>
    <m/>
    <m/>
    <m/>
    <m/>
    <s v="YMNL"/>
    <n v="102700"/>
    <n v="0"/>
    <n v="0"/>
    <n v="0"/>
    <s v="S100"/>
    <s v="XML"/>
    <x v="2"/>
    <m/>
    <d v="2026-02-21T14:37:36"/>
    <d v="2026-02-21T15:19:19"/>
    <d v="1899-12-30T00:41:43"/>
    <m/>
    <m/>
    <m/>
    <d v="1899-12-30T00:41:43"/>
    <m/>
    <m/>
    <m/>
    <m/>
    <m/>
    <m/>
    <m/>
    <m/>
    <s v="Practitioner"/>
  </r>
  <r>
    <n v="20885"/>
    <x v="4"/>
    <m/>
    <m/>
    <m/>
    <m/>
    <m/>
    <m/>
    <m/>
    <m/>
    <s v="JAC"/>
    <n v="33018"/>
    <n v="0"/>
    <n v="0"/>
    <n v="0"/>
    <s v="S100"/>
    <s v="SXML"/>
    <x v="2"/>
    <m/>
    <d v="2026-02-21T08:53:54"/>
    <d v="2026-02-21T10:18:09"/>
    <d v="1899-12-30T01:24:15"/>
    <m/>
    <m/>
    <m/>
    <d v="1899-12-30T01:24:15"/>
    <m/>
    <m/>
    <m/>
    <m/>
    <m/>
    <m/>
    <m/>
    <m/>
    <s v="Practitioner"/>
  </r>
  <r>
    <n v="20885"/>
    <x v="4"/>
    <m/>
    <m/>
    <m/>
    <m/>
    <m/>
    <m/>
    <m/>
    <m/>
    <s v="JAC"/>
    <n v="33026"/>
    <n v="0"/>
    <n v="0"/>
    <n v="0"/>
    <s v="S100"/>
    <s v="SXML"/>
    <x v="2"/>
    <m/>
    <d v="2026-02-21T07:25:54"/>
    <d v="2026-02-21T07:33:57"/>
    <d v="1899-12-30T00:08:03"/>
    <m/>
    <m/>
    <m/>
    <d v="1899-12-30T00:08:03"/>
    <m/>
    <m/>
    <m/>
    <m/>
    <m/>
    <m/>
    <m/>
    <m/>
    <s v="Practitioner"/>
  </r>
  <r>
    <n v="20885"/>
    <x v="4"/>
    <m/>
    <m/>
    <m/>
    <m/>
    <m/>
    <m/>
    <m/>
    <m/>
    <s v="JAC"/>
    <n v="33024"/>
    <n v="0"/>
    <n v="0"/>
    <n v="0"/>
    <s v="S100"/>
    <s v="SXML"/>
    <x v="2"/>
    <m/>
    <d v="2026-02-21T07:15:08"/>
    <d v="2026-02-21T07:25:39"/>
    <d v="1899-12-30T00:10:31"/>
    <m/>
    <m/>
    <m/>
    <d v="1899-12-30T00:10:31"/>
    <m/>
    <m/>
    <m/>
    <m/>
    <m/>
    <m/>
    <m/>
    <m/>
    <s v="Practitioner"/>
  </r>
  <r>
    <n v="21151"/>
    <x v="5"/>
    <m/>
    <m/>
    <m/>
    <m/>
    <m/>
    <m/>
    <m/>
    <m/>
    <s v="BVTH"/>
    <n v="100150"/>
    <n v="0"/>
    <n v="0"/>
    <n v="0"/>
    <s v="S100"/>
    <s v="SXML"/>
    <x v="2"/>
    <m/>
    <d v="2026-02-21T11:01:23"/>
    <d v="2026-02-21T11:24:02"/>
    <d v="1899-12-30T00:22:39"/>
    <m/>
    <m/>
    <m/>
    <d v="1899-12-30T00:22:39"/>
    <m/>
    <m/>
    <m/>
    <m/>
    <m/>
    <m/>
    <m/>
    <m/>
    <s v="Practitioner"/>
  </r>
  <r>
    <n v="21151"/>
    <x v="5"/>
    <m/>
    <m/>
    <m/>
    <m/>
    <m/>
    <m/>
    <m/>
    <m/>
    <s v="BICT"/>
    <n v="100039"/>
    <n v="0"/>
    <n v="0"/>
    <n v="0"/>
    <s v="S100"/>
    <s v="XML"/>
    <x v="2"/>
    <m/>
    <d v="2026-02-21T12:39:43"/>
    <d v="2026-02-21T13:34:12"/>
    <d v="1899-12-30T00:29:01"/>
    <m/>
    <m/>
    <m/>
    <d v="1899-12-30T00:29:01"/>
    <m/>
    <m/>
    <m/>
    <m/>
    <m/>
    <m/>
    <m/>
    <m/>
    <s v="Practitioner"/>
  </r>
  <r>
    <n v="22279"/>
    <x v="6"/>
    <m/>
    <m/>
    <m/>
    <m/>
    <m/>
    <m/>
    <m/>
    <m/>
    <s v="YMOB"/>
    <n v="16678"/>
    <n v="0"/>
    <n v="0"/>
    <n v="0"/>
    <s v="S5"/>
    <s v="TUDCREATION"/>
    <x v="2"/>
    <m/>
    <d v="2026-02-21T07:04:57"/>
    <d v="2026-02-21T11:23:58"/>
    <d v="1899-12-30T00:43:53"/>
    <m/>
    <m/>
    <m/>
    <d v="1899-12-30T00:43:53"/>
    <m/>
    <m/>
    <m/>
    <m/>
    <m/>
    <m/>
    <m/>
    <m/>
    <s v="Practitioner"/>
  </r>
  <r>
    <n v="22326"/>
    <x v="7"/>
    <m/>
    <m/>
    <m/>
    <m/>
    <m/>
    <m/>
    <m/>
    <m/>
    <s v="YJHSU"/>
    <n v="57717"/>
    <n v="0"/>
    <n v="0"/>
    <n v="0"/>
    <s v="S100"/>
    <s v="SXML"/>
    <x v="2"/>
    <m/>
    <d v="2026-02-21T20:05:49"/>
    <d v="2026-02-21T20:38:32"/>
    <d v="1899-12-30T00:32:43"/>
    <m/>
    <m/>
    <m/>
    <d v="1899-12-30T00:32:43"/>
    <m/>
    <m/>
    <m/>
    <m/>
    <m/>
    <m/>
    <m/>
    <m/>
    <s v="Practitioner"/>
  </r>
  <r>
    <n v="22326"/>
    <x v="7"/>
    <m/>
    <m/>
    <m/>
    <m/>
    <m/>
    <m/>
    <m/>
    <m/>
    <s v="XKME"/>
    <n v="101294"/>
    <n v="0"/>
    <n v="0"/>
    <n v="0"/>
    <s v="S100"/>
    <s v="SXML"/>
    <x v="2"/>
    <m/>
    <d v="2026-02-21T22:33:33"/>
    <d v="2026-02-21T22:57:07"/>
    <d v="1899-12-30T00:23:34"/>
    <m/>
    <m/>
    <m/>
    <d v="1899-12-30T00:23:34"/>
    <m/>
    <m/>
    <m/>
    <m/>
    <m/>
    <m/>
    <m/>
    <m/>
    <s v="Practitioner"/>
  </r>
  <r>
    <n v="22720"/>
    <x v="10"/>
    <m/>
    <m/>
    <m/>
    <m/>
    <m/>
    <m/>
    <m/>
    <m/>
    <s v="AED"/>
    <n v="552"/>
    <n v="0"/>
    <n v="0"/>
    <n v="0"/>
    <s v="S5"/>
    <s v="TUDCREATION"/>
    <x v="2"/>
    <m/>
    <d v="2026-02-21T14:57:39"/>
    <d v="2026-02-21T15:03:00"/>
    <d v="1899-12-30T00:05:21"/>
    <m/>
    <m/>
    <m/>
    <d v="1899-12-30T00:05:21"/>
    <m/>
    <m/>
    <m/>
    <m/>
    <m/>
    <m/>
    <m/>
    <m/>
    <s v="Practitioner"/>
  </r>
  <r>
    <n v="22720"/>
    <x v="10"/>
    <m/>
    <m/>
    <m/>
    <m/>
    <m/>
    <m/>
    <m/>
    <m/>
    <s v="AED"/>
    <n v="553"/>
    <n v="0"/>
    <n v="0"/>
    <n v="0"/>
    <s v="S5"/>
    <s v="TUDCREATION"/>
    <x v="2"/>
    <m/>
    <d v="2026-02-21T14:36:11"/>
    <d v="2026-02-21T14:56:56"/>
    <d v="1899-12-30T00:20:45"/>
    <m/>
    <m/>
    <m/>
    <d v="1899-12-30T00:20:45"/>
    <m/>
    <m/>
    <m/>
    <m/>
    <m/>
    <m/>
    <m/>
    <m/>
    <s v="Practitioner"/>
  </r>
  <r>
    <n v="22720"/>
    <x v="10"/>
    <m/>
    <m/>
    <m/>
    <m/>
    <m/>
    <m/>
    <m/>
    <m/>
    <s v="LANPLH"/>
    <n v="101439"/>
    <n v="0"/>
    <n v="0"/>
    <n v="0"/>
    <s v="S100"/>
    <s v="XML"/>
    <x v="2"/>
    <m/>
    <d v="2026-02-21T11:59:50"/>
    <d v="2026-02-21T12:57:51"/>
    <d v="1899-12-30T00:58:01"/>
    <m/>
    <m/>
    <m/>
    <d v="1899-12-30T00:58:01"/>
    <m/>
    <m/>
    <m/>
    <m/>
    <m/>
    <m/>
    <m/>
    <m/>
    <s v="Practitioner"/>
  </r>
  <r>
    <n v="22833"/>
    <x v="12"/>
    <m/>
    <m/>
    <m/>
    <m/>
    <m/>
    <m/>
    <m/>
    <m/>
    <s v="HROO"/>
    <n v="966"/>
    <n v="0"/>
    <n v="0"/>
    <n v="0"/>
    <s v="S100"/>
    <s v="SXML"/>
    <x v="2"/>
    <m/>
    <d v="2026-02-21T04:52:34"/>
    <d v="2026-02-21T05:21:25"/>
    <d v="1899-12-30T00:28:51"/>
    <m/>
    <m/>
    <m/>
    <d v="1899-12-30T00:28:51"/>
    <m/>
    <m/>
    <m/>
    <m/>
    <m/>
    <m/>
    <m/>
    <m/>
    <s v="Practitioner"/>
  </r>
  <r>
    <n v="22833"/>
    <x v="12"/>
    <m/>
    <m/>
    <m/>
    <m/>
    <m/>
    <m/>
    <m/>
    <m/>
    <s v="CJCA"/>
    <n v="5910"/>
    <n v="0"/>
    <n v="0"/>
    <n v="0"/>
    <s v="S100"/>
    <s v="SXML"/>
    <x v="2"/>
    <m/>
    <d v="2026-02-21T02:40:47"/>
    <d v="2026-02-21T03:04:09"/>
    <d v="1899-12-30T00:23:22"/>
    <m/>
    <m/>
    <m/>
    <d v="1899-12-30T00:23:22"/>
    <m/>
    <m/>
    <m/>
    <m/>
    <m/>
    <m/>
    <m/>
    <m/>
    <s v="Practitioner"/>
  </r>
  <r>
    <n v="22923"/>
    <x v="13"/>
    <m/>
    <m/>
    <m/>
    <m/>
    <m/>
    <m/>
    <m/>
    <m/>
    <s v="BPSC"/>
    <n v="1568"/>
    <n v="0"/>
    <n v="0"/>
    <n v="0"/>
    <s v="S5"/>
    <s v="TUDCREATION"/>
    <x v="2"/>
    <m/>
    <d v="2026-02-21T20:15:12"/>
    <d v="2026-02-21T21:03:52"/>
    <d v="1899-12-30T00:48:40"/>
    <m/>
    <m/>
    <m/>
    <d v="1899-12-30T00:48:40"/>
    <m/>
    <m/>
    <m/>
    <m/>
    <m/>
    <m/>
    <m/>
    <m/>
    <s v="Practitioner"/>
  </r>
  <r>
    <n v="22923"/>
    <x v="13"/>
    <m/>
    <m/>
    <m/>
    <m/>
    <m/>
    <m/>
    <m/>
    <m/>
    <s v="BVTH"/>
    <n v="100154"/>
    <n v="0"/>
    <n v="0"/>
    <n v="0"/>
    <s v="S5"/>
    <s v="TUDCREATION"/>
    <x v="2"/>
    <m/>
    <d v="2026-02-21T16:22:52"/>
    <d v="2026-02-21T19:50:42"/>
    <d v="1899-12-30T00:53:51"/>
    <m/>
    <m/>
    <m/>
    <d v="1899-12-30T00:53:51"/>
    <m/>
    <m/>
    <m/>
    <m/>
    <m/>
    <m/>
    <m/>
    <m/>
    <s v="Practitioner"/>
  </r>
  <r>
    <n v="22924"/>
    <x v="14"/>
    <m/>
    <m/>
    <m/>
    <m/>
    <m/>
    <m/>
    <m/>
    <m/>
    <s v="MODPAT"/>
    <n v="100979"/>
    <n v="0"/>
    <n v="0"/>
    <n v="0"/>
    <s v="S5"/>
    <s v="TUDCREATION"/>
    <x v="2"/>
    <m/>
    <d v="2026-02-21T09:57:05"/>
    <d v="2026-02-21T11:51:49"/>
    <d v="1899-12-30T00:20:14"/>
    <m/>
    <m/>
    <m/>
    <d v="1899-12-30T00:20:14"/>
    <m/>
    <m/>
    <m/>
    <m/>
    <m/>
    <m/>
    <m/>
    <m/>
    <s v="Practitioner"/>
  </r>
  <r>
    <n v="22924"/>
    <x v="14"/>
    <m/>
    <m/>
    <m/>
    <m/>
    <m/>
    <m/>
    <m/>
    <m/>
    <s v="JSCAI"/>
    <n v="104402"/>
    <n v="0"/>
    <n v="0"/>
    <n v="0"/>
    <s v="S5"/>
    <s v="TUDCREATION"/>
    <x v="2"/>
    <m/>
    <d v="2026-02-21T12:27:17"/>
    <d v="2026-02-21T12:52:01"/>
    <d v="1899-12-30T00:24:44"/>
    <m/>
    <m/>
    <m/>
    <d v="1899-12-30T00:24:44"/>
    <m/>
    <m/>
    <m/>
    <m/>
    <m/>
    <m/>
    <m/>
    <m/>
    <s v="Practitioner"/>
  </r>
  <r>
    <n v="22958"/>
    <x v="17"/>
    <m/>
    <m/>
    <m/>
    <m/>
    <m/>
    <m/>
    <m/>
    <m/>
    <s v="YMTC"/>
    <n v="20466"/>
    <n v="0"/>
    <n v="0"/>
    <n v="0"/>
    <s v="S100"/>
    <s v="PREEDIT"/>
    <x v="2"/>
    <m/>
    <d v="2026-02-21T00:00:00"/>
    <d v="2026-02-21T16:39:53"/>
    <d v="1899-12-30T00:41:47"/>
    <m/>
    <m/>
    <m/>
    <d v="1899-12-30T00:41:47"/>
    <m/>
    <m/>
    <m/>
    <m/>
    <m/>
    <m/>
    <m/>
    <m/>
    <s v="Practitioner"/>
  </r>
  <r>
    <n v="22958"/>
    <x v="17"/>
    <m/>
    <m/>
    <m/>
    <m/>
    <m/>
    <m/>
    <m/>
    <m/>
    <s v="JACADV"/>
    <n v="102664"/>
    <n v="0"/>
    <n v="0"/>
    <n v="0"/>
    <s v="S100"/>
    <s v="PREEDIT"/>
    <x v="2"/>
    <m/>
    <d v="2026-02-21T20:10:40"/>
    <d v="2026-02-21T21:04:57"/>
    <d v="1899-12-30T00:54:17"/>
    <m/>
    <m/>
    <m/>
    <d v="1899-12-30T00:54:17"/>
    <m/>
    <m/>
    <m/>
    <m/>
    <m/>
    <m/>
    <m/>
    <m/>
    <s v="Practitioner"/>
  </r>
  <r>
    <n v="22958"/>
    <x v="17"/>
    <m/>
    <m/>
    <m/>
    <m/>
    <m/>
    <m/>
    <m/>
    <m/>
    <s v="JACADV"/>
    <n v="102664"/>
    <n v="0"/>
    <n v="0"/>
    <n v="0"/>
    <s v="S5"/>
    <s v="PROCESSTUDXML"/>
    <x v="2"/>
    <m/>
    <d v="2026-02-21T21:05:07"/>
    <d v="2026-02-21T21:05:33"/>
    <d v="1899-12-30T00:00:26"/>
    <m/>
    <m/>
    <m/>
    <d v="1899-12-30T00:00:26"/>
    <m/>
    <m/>
    <m/>
    <m/>
    <m/>
    <m/>
    <m/>
    <m/>
    <s v="Practitioner"/>
  </r>
  <r>
    <n v="22958"/>
    <x v="17"/>
    <m/>
    <m/>
    <m/>
    <m/>
    <m/>
    <m/>
    <m/>
    <m/>
    <s v="YMTC"/>
    <n v="20466"/>
    <n v="0"/>
    <n v="0"/>
    <n v="0"/>
    <s v="S5"/>
    <s v="PROCESSTUDXML"/>
    <x v="2"/>
    <m/>
    <d v="2026-02-21T16:40:01"/>
    <d v="2026-02-21T16:40:12"/>
    <d v="1899-12-30T00:00:11"/>
    <m/>
    <m/>
    <m/>
    <d v="1899-12-30T00:00:11"/>
    <m/>
    <m/>
    <m/>
    <m/>
    <m/>
    <m/>
    <m/>
    <m/>
    <s v="Practitioner"/>
  </r>
  <r>
    <n v="22961"/>
    <x v="18"/>
    <m/>
    <m/>
    <m/>
    <m/>
    <m/>
    <m/>
    <m/>
    <m/>
    <s v="EKIR"/>
    <n v="106356"/>
    <n v="0"/>
    <n v="0"/>
    <n v="0"/>
    <s v="S100"/>
    <s v="SXML"/>
    <x v="2"/>
    <m/>
    <d v="2026-02-21T14:28:21"/>
    <d v="2026-02-21T15:51:29"/>
    <d v="1899-12-30T01:23:08"/>
    <m/>
    <m/>
    <m/>
    <d v="1899-12-30T01:23:08"/>
    <m/>
    <m/>
    <m/>
    <m/>
    <m/>
    <m/>
    <m/>
    <m/>
    <s v="Practitioner"/>
  </r>
  <r>
    <n v="22961"/>
    <x v="18"/>
    <m/>
    <m/>
    <m/>
    <m/>
    <m/>
    <m/>
    <m/>
    <m/>
    <s v="EKIR"/>
    <n v="106354"/>
    <n v="0"/>
    <n v="0"/>
    <n v="0"/>
    <s v="S100"/>
    <s v="SXML"/>
    <x v="2"/>
    <m/>
    <d v="2026-02-21T13:13:50"/>
    <d v="2026-02-21T15:55:10"/>
    <d v="1899-12-30T01:14:26"/>
    <m/>
    <m/>
    <m/>
    <d v="1899-12-30T01:14:26"/>
    <m/>
    <m/>
    <m/>
    <m/>
    <m/>
    <m/>
    <m/>
    <m/>
    <s v="Practitioner"/>
  </r>
  <r>
    <n v="22961"/>
    <x v="18"/>
    <m/>
    <m/>
    <m/>
    <m/>
    <m/>
    <m/>
    <m/>
    <m/>
    <s v="JAACOP"/>
    <n v="212"/>
    <n v="0"/>
    <n v="0"/>
    <n v="0"/>
    <s v="S100"/>
    <s v="SXML"/>
    <x v="2"/>
    <m/>
    <d v="2026-02-21T18:01:31"/>
    <d v="2026-02-21T19:20:23"/>
    <d v="1899-12-30T01:18:52"/>
    <m/>
    <m/>
    <m/>
    <d v="1899-12-30T01:18:52"/>
    <m/>
    <m/>
    <m/>
    <m/>
    <m/>
    <m/>
    <m/>
    <m/>
    <s v="Practitioner"/>
  </r>
  <r>
    <n v="23043"/>
    <x v="19"/>
    <m/>
    <m/>
    <m/>
    <m/>
    <m/>
    <m/>
    <m/>
    <m/>
    <s v="JVIR"/>
    <n v="108607"/>
    <n v="0"/>
    <n v="0"/>
    <n v="0"/>
    <s v="S5"/>
    <s v="TUDCREATION"/>
    <x v="2"/>
    <m/>
    <d v="2026-02-21T13:14:38"/>
    <d v="2026-02-21T13:40:34"/>
    <d v="1899-12-30T00:25:56"/>
    <m/>
    <m/>
    <m/>
    <d v="1899-12-30T00:25:56"/>
    <m/>
    <m/>
    <m/>
    <m/>
    <m/>
    <m/>
    <m/>
    <m/>
    <s v="Practitioner"/>
  </r>
  <r>
    <n v="23043"/>
    <x v="19"/>
    <m/>
    <m/>
    <m/>
    <m/>
    <m/>
    <m/>
    <m/>
    <m/>
    <s v="YMJD"/>
    <n v="20926"/>
    <n v="0"/>
    <n v="0"/>
    <n v="0"/>
    <s v="S5"/>
    <s v="TUDCREATION"/>
    <x v="2"/>
    <m/>
    <d v="2026-02-21T06:21:47"/>
    <d v="2026-02-21T07:07:14"/>
    <d v="1899-12-30T00:45:27"/>
    <m/>
    <m/>
    <m/>
    <d v="1899-12-30T00:45:27"/>
    <m/>
    <m/>
    <m/>
    <m/>
    <m/>
    <m/>
    <m/>
    <m/>
    <s v="Practitioner"/>
  </r>
  <r>
    <n v="23044"/>
    <x v="20"/>
    <m/>
    <m/>
    <m/>
    <m/>
    <m/>
    <m/>
    <m/>
    <m/>
    <s v="IGIE"/>
    <n v="373"/>
    <n v="0"/>
    <n v="0"/>
    <n v="0"/>
    <s v="S5"/>
    <s v="TUDCREATION"/>
    <x v="2"/>
    <m/>
    <d v="2026-02-21T17:53:47"/>
    <d v="2026-02-21T18:29:56"/>
    <d v="1899-12-30T00:36:09"/>
    <m/>
    <m/>
    <m/>
    <d v="1899-12-30T00:36:09"/>
    <m/>
    <m/>
    <m/>
    <m/>
    <m/>
    <m/>
    <m/>
    <m/>
    <s v="Practitioner"/>
  </r>
  <r>
    <n v="23044"/>
    <x v="20"/>
    <m/>
    <m/>
    <m/>
    <m/>
    <m/>
    <m/>
    <m/>
    <m/>
    <s v="YMGE"/>
    <n v="15330"/>
    <n v="0"/>
    <n v="0"/>
    <n v="0"/>
    <s v="S5"/>
    <s v="TUDCREATION"/>
    <x v="2"/>
    <m/>
    <d v="2026-02-21T20:43:02"/>
    <d v="2026-02-21T21:18:16"/>
    <d v="1899-12-30T00:35:14"/>
    <m/>
    <m/>
    <m/>
    <d v="1899-12-30T00:35:14"/>
    <m/>
    <m/>
    <m/>
    <m/>
    <m/>
    <m/>
    <m/>
    <m/>
    <s v="Practitioner"/>
  </r>
  <r>
    <n v="23044"/>
    <x v="20"/>
    <m/>
    <m/>
    <m/>
    <m/>
    <m/>
    <m/>
    <m/>
    <m/>
    <s v="YMGE"/>
    <n v="15329"/>
    <n v="0"/>
    <n v="0"/>
    <n v="0"/>
    <s v="S5"/>
    <s v="TUDCREATION"/>
    <x v="2"/>
    <m/>
    <d v="2026-02-21T20:09:56"/>
    <d v="2026-02-21T20:42:53"/>
    <d v="1899-12-30T00:32:57"/>
    <m/>
    <m/>
    <m/>
    <d v="1899-12-30T00:32:57"/>
    <m/>
    <m/>
    <m/>
    <m/>
    <m/>
    <m/>
    <m/>
    <m/>
    <s v="Practitioner"/>
  </r>
  <r>
    <n v="23044"/>
    <x v="20"/>
    <m/>
    <m/>
    <m/>
    <m/>
    <m/>
    <m/>
    <m/>
    <m/>
    <s v="IGIE"/>
    <n v="371"/>
    <n v="0"/>
    <n v="0"/>
    <n v="0"/>
    <s v="S5"/>
    <s v="TUDCREATION"/>
    <x v="2"/>
    <m/>
    <d v="2026-02-21T17:41:08"/>
    <d v="2026-02-21T18:53:26"/>
    <d v="1899-12-30T00:35:04"/>
    <m/>
    <m/>
    <m/>
    <d v="1899-12-30T00:35:04"/>
    <m/>
    <m/>
    <m/>
    <m/>
    <m/>
    <m/>
    <m/>
    <m/>
    <s v="Practitioner"/>
  </r>
  <r>
    <n v="23149"/>
    <x v="23"/>
    <m/>
    <m/>
    <m/>
    <m/>
    <m/>
    <m/>
    <m/>
    <m/>
    <s v="YMAI"/>
    <n v="17099"/>
    <n v="0"/>
    <n v="0"/>
    <n v="0"/>
    <s v="S5"/>
    <s v="TUDCREATION"/>
    <x v="2"/>
    <m/>
    <d v="2026-02-21T12:23:41"/>
    <d v="2026-02-21T13:43:21"/>
    <d v="1899-12-30T01:19:40"/>
    <m/>
    <m/>
    <m/>
    <d v="1899-12-30T01:19:40"/>
    <m/>
    <m/>
    <m/>
    <m/>
    <m/>
    <m/>
    <m/>
    <m/>
    <s v="Practitioner"/>
  </r>
  <r>
    <n v="23149"/>
    <x v="23"/>
    <m/>
    <m/>
    <m/>
    <m/>
    <m/>
    <m/>
    <m/>
    <m/>
    <s v="CHPULM"/>
    <n v="100241"/>
    <n v="0"/>
    <n v="0"/>
    <n v="0"/>
    <s v="S5"/>
    <s v="TUDCREATION"/>
    <x v="2"/>
    <m/>
    <d v="2026-02-21T10:46:40"/>
    <d v="2026-02-21T12:23:34"/>
    <d v="1899-12-30T00:24:25"/>
    <m/>
    <m/>
    <m/>
    <d v="1899-12-30T00:24:25"/>
    <m/>
    <m/>
    <m/>
    <m/>
    <m/>
    <m/>
    <m/>
    <m/>
    <s v="Practition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E30" firstHeaderRow="1" firstDataRow="2" firstDataCol="1" rowPageCount="1" colPageCount="1"/>
  <pivotFields count="35">
    <pivotField showAll="0"/>
    <pivotField axis="axisRow" showAll="0">
      <items count="26">
        <item x="23"/>
        <item x="5"/>
        <item x="10"/>
        <item x="15"/>
        <item x="22"/>
        <item x="7"/>
        <item x="13"/>
        <item x="17"/>
        <item x="21"/>
        <item x="14"/>
        <item x="3"/>
        <item x="19"/>
        <item x="11"/>
        <item x="2"/>
        <item x="6"/>
        <item x="4"/>
        <item x="24"/>
        <item x="18"/>
        <item x="9"/>
        <item x="16"/>
        <item x="8"/>
        <item x="0"/>
        <item x="20"/>
        <item x="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4">
        <item x="0"/>
        <item h="1" x="2"/>
        <item x="1"/>
        <item t="default"/>
      </items>
    </pivotField>
    <pivotField showAll="0"/>
    <pivotField numFmtId="22" showAll="0"/>
    <pivotField numFmtId="22" showAll="0"/>
    <pivotField dataField="1" numFmtId="21" showAll="0"/>
    <pivotField showAll="0"/>
    <pivotField showAll="0"/>
    <pivotField showAll="0"/>
    <pivotField dataField="1" numFmtId="2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7" hier="-1"/>
  </pageFields>
  <dataFields count="4">
    <dataField name="Count of Process" fld="16" subtotal="count" baseField="0" baseItem="0"/>
    <dataField name="Sum of totaltime" fld="21" baseField="0" baseItem="0" numFmtId="46"/>
    <dataField name="Sum of efficitiveHours" fld="25" baseField="0" baseItem="0" numFmtId="46"/>
    <dataField name="Average of non_productivity_hours" fld="33" subtotal="average" baseField="0" baseItem="0" numFmtId="46"/>
  </dataFields>
  <formats count="1">
    <format dxfId="0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B1" sqref="B1"/>
    </sheetView>
  </sheetViews>
  <sheetFormatPr defaultRowHeight="14.5"/>
  <cols>
    <col min="1" max="1" width="26" bestFit="1" customWidth="1"/>
    <col min="2" max="2" width="16.453125" bestFit="1" customWidth="1"/>
    <col min="3" max="3" width="15" bestFit="1" customWidth="1"/>
    <col min="4" max="4" width="19.36328125" bestFit="1" customWidth="1"/>
    <col min="5" max="5" width="30.81640625" bestFit="1" customWidth="1"/>
  </cols>
  <sheetData>
    <row r="1" spans="1:9">
      <c r="A1" s="5" t="s">
        <v>17</v>
      </c>
      <c r="B1" t="s">
        <v>306</v>
      </c>
    </row>
    <row r="3" spans="1:9">
      <c r="B3" s="5" t="s">
        <v>300</v>
      </c>
      <c r="F3" s="8"/>
      <c r="G3" s="8"/>
      <c r="H3" s="8"/>
      <c r="I3" s="8"/>
    </row>
    <row r="4" spans="1:9">
      <c r="A4" s="5" t="s">
        <v>297</v>
      </c>
      <c r="B4" t="s">
        <v>299</v>
      </c>
      <c r="C4" t="s">
        <v>301</v>
      </c>
      <c r="D4" t="s">
        <v>302</v>
      </c>
      <c r="E4" t="s">
        <v>303</v>
      </c>
      <c r="F4" s="9" t="s">
        <v>304</v>
      </c>
      <c r="G4" s="9" t="s">
        <v>305</v>
      </c>
      <c r="H4" s="9" t="s">
        <v>191</v>
      </c>
      <c r="I4" s="9" t="s">
        <v>32</v>
      </c>
    </row>
    <row r="5" spans="1:9">
      <c r="A5" s="6" t="s">
        <v>295</v>
      </c>
      <c r="B5" s="7">
        <v>4</v>
      </c>
      <c r="C5" s="4">
        <v>0.12035879629629628</v>
      </c>
      <c r="D5" s="4">
        <v>8.3333333333333329E-2</v>
      </c>
      <c r="E5" s="4" t="e">
        <v>#DIV/0!</v>
      </c>
      <c r="F5" s="4">
        <f>SUM(MIN(C5,D5),IFERROR(E5,0))</f>
        <v>8.3333333333333329E-2</v>
      </c>
      <c r="G5" s="4"/>
      <c r="H5" s="4">
        <f>MAX(0,F5-I5)</f>
        <v>0</v>
      </c>
      <c r="I5" s="4">
        <v>0.29166666666666669</v>
      </c>
    </row>
    <row r="6" spans="1:9">
      <c r="A6" s="6" t="s">
        <v>249</v>
      </c>
      <c r="B6" s="7">
        <v>10</v>
      </c>
      <c r="C6" s="4">
        <v>0.23418981481481482</v>
      </c>
      <c r="D6" s="4">
        <v>0.26157407407407401</v>
      </c>
      <c r="E6" s="4">
        <v>1.7627314814814811E-2</v>
      </c>
      <c r="F6" s="4">
        <f t="shared" ref="F6:F29" si="0">SUM(MIN(C6,D6),IFERROR(E6,0))</f>
        <v>0.25181712962962965</v>
      </c>
      <c r="G6" s="4"/>
      <c r="H6" s="4">
        <f t="shared" ref="H6:H29" si="1">MAX(0,F6-I6)</f>
        <v>0</v>
      </c>
      <c r="I6" s="4">
        <v>0.29166666666666669</v>
      </c>
    </row>
    <row r="7" spans="1:9">
      <c r="A7" s="6" t="s">
        <v>262</v>
      </c>
      <c r="B7" s="7">
        <v>13</v>
      </c>
      <c r="C7" s="4">
        <v>0.27831018518518519</v>
      </c>
      <c r="D7" s="4">
        <v>0.27322916666666669</v>
      </c>
      <c r="E7" s="4">
        <v>2.0486111111111117E-3</v>
      </c>
      <c r="F7" s="4">
        <f t="shared" si="0"/>
        <v>0.27527777777777779</v>
      </c>
      <c r="G7" s="4"/>
      <c r="H7" s="4">
        <f t="shared" si="1"/>
        <v>0</v>
      </c>
      <c r="I7" s="4">
        <v>0.29166666666666669</v>
      </c>
    </row>
    <row r="8" spans="1:9">
      <c r="A8" s="6" t="s">
        <v>268</v>
      </c>
      <c r="B8" s="7">
        <v>16</v>
      </c>
      <c r="C8" s="4">
        <v>0.31052083333333336</v>
      </c>
      <c r="D8" s="4">
        <v>0.36993055555555548</v>
      </c>
      <c r="E8" s="4" t="e">
        <v>#DIV/0!</v>
      </c>
      <c r="F8" s="4">
        <f t="shared" si="0"/>
        <v>0.31052083333333336</v>
      </c>
      <c r="G8" s="4"/>
      <c r="H8" s="4">
        <f t="shared" si="1"/>
        <v>1.8854166666666672E-2</v>
      </c>
      <c r="I8" s="4">
        <v>0.29166666666666669</v>
      </c>
    </row>
    <row r="9" spans="1:9">
      <c r="A9" s="6" t="s">
        <v>278</v>
      </c>
      <c r="B9" s="7">
        <v>1</v>
      </c>
      <c r="C9" s="4">
        <v>2.3263888888888887E-3</v>
      </c>
      <c r="D9" s="4">
        <v>2.3263888888888887E-3</v>
      </c>
      <c r="E9" s="4" t="e">
        <v>#DIV/0!</v>
      </c>
      <c r="F9" s="4">
        <f t="shared" si="0"/>
        <v>2.3263888888888887E-3</v>
      </c>
      <c r="G9" s="4"/>
      <c r="H9" s="4">
        <f t="shared" si="1"/>
        <v>0</v>
      </c>
      <c r="I9" s="4">
        <v>0.29166666666666669</v>
      </c>
    </row>
    <row r="10" spans="1:9">
      <c r="A10" s="6" t="s">
        <v>291</v>
      </c>
      <c r="B10" s="7">
        <v>8</v>
      </c>
      <c r="C10" s="4">
        <v>0.20280092592592591</v>
      </c>
      <c r="D10" s="4">
        <v>0.14256944444444444</v>
      </c>
      <c r="E10" s="4">
        <v>2.1562499999999998E-2</v>
      </c>
      <c r="F10" s="4">
        <f t="shared" si="0"/>
        <v>0.16413194444444446</v>
      </c>
      <c r="G10" s="4"/>
      <c r="H10" s="4">
        <f t="shared" si="1"/>
        <v>0</v>
      </c>
      <c r="I10" s="4">
        <v>0.29166666666666669</v>
      </c>
    </row>
    <row r="11" spans="1:9">
      <c r="A11" s="6" t="s">
        <v>265</v>
      </c>
      <c r="B11" s="7">
        <v>21</v>
      </c>
      <c r="C11" s="4">
        <v>0.22137731481481479</v>
      </c>
      <c r="D11" s="4">
        <v>0.3420138888888889</v>
      </c>
      <c r="E11" s="4" t="e">
        <v>#DIV/0!</v>
      </c>
      <c r="F11" s="4">
        <f t="shared" si="0"/>
        <v>0.22137731481481479</v>
      </c>
      <c r="G11" s="4"/>
      <c r="H11" s="4">
        <f t="shared" si="1"/>
        <v>0</v>
      </c>
      <c r="I11" s="4">
        <v>0.29166666666666669</v>
      </c>
    </row>
    <row r="12" spans="1:9">
      <c r="A12" s="6" t="s">
        <v>294</v>
      </c>
      <c r="B12" s="7">
        <v>14</v>
      </c>
      <c r="C12" s="4">
        <v>0.24215277777777777</v>
      </c>
      <c r="D12" s="4">
        <v>0.4674652777777778</v>
      </c>
      <c r="E12" s="4" t="e">
        <v>#DIV/0!</v>
      </c>
      <c r="F12" s="4">
        <f t="shared" si="0"/>
        <v>0.24215277777777777</v>
      </c>
      <c r="G12" s="4"/>
      <c r="H12" s="4">
        <f t="shared" si="1"/>
        <v>0</v>
      </c>
      <c r="I12" s="4">
        <v>0.29166666666666669</v>
      </c>
    </row>
    <row r="13" spans="1:9">
      <c r="A13" s="6" t="s">
        <v>277</v>
      </c>
      <c r="B13" s="7">
        <v>12</v>
      </c>
      <c r="C13" s="4">
        <v>0.35770833333333329</v>
      </c>
      <c r="D13" s="4">
        <v>0.27902777777777776</v>
      </c>
      <c r="E13" s="4" t="e">
        <v>#DIV/0!</v>
      </c>
      <c r="F13" s="4">
        <f t="shared" si="0"/>
        <v>0.27902777777777776</v>
      </c>
      <c r="G13" s="4"/>
      <c r="H13" s="4">
        <f t="shared" si="1"/>
        <v>0</v>
      </c>
      <c r="I13" s="4">
        <v>0.29166666666666669</v>
      </c>
    </row>
    <row r="14" spans="1:9">
      <c r="A14" s="6" t="s">
        <v>293</v>
      </c>
      <c r="B14" s="7">
        <v>15</v>
      </c>
      <c r="C14" s="4">
        <v>0.27896990740740735</v>
      </c>
      <c r="D14" s="4">
        <v>0.31249999999999994</v>
      </c>
      <c r="E14" s="4" t="e">
        <v>#DIV/0!</v>
      </c>
      <c r="F14" s="4">
        <f t="shared" si="0"/>
        <v>0.27896990740740735</v>
      </c>
      <c r="G14" s="4"/>
      <c r="H14" s="4">
        <f t="shared" si="1"/>
        <v>0</v>
      </c>
      <c r="I14" s="4">
        <v>0.29166666666666669</v>
      </c>
    </row>
    <row r="15" spans="1:9">
      <c r="A15" s="6" t="s">
        <v>288</v>
      </c>
      <c r="B15" s="7">
        <v>16</v>
      </c>
      <c r="C15" s="4">
        <v>0.30106481481481484</v>
      </c>
      <c r="D15" s="4">
        <v>0.25854166666666667</v>
      </c>
      <c r="E15" s="4">
        <v>1.8310185185185183E-2</v>
      </c>
      <c r="F15" s="4">
        <f t="shared" si="0"/>
        <v>0.27685185185185185</v>
      </c>
      <c r="G15" s="4"/>
      <c r="H15" s="4">
        <f t="shared" si="1"/>
        <v>0</v>
      </c>
      <c r="I15" s="4">
        <v>0.29166666666666669</v>
      </c>
    </row>
    <row r="16" spans="1:9">
      <c r="A16" s="6" t="s">
        <v>273</v>
      </c>
      <c r="B16" s="7">
        <v>11</v>
      </c>
      <c r="C16" s="4">
        <v>0.25850694444444444</v>
      </c>
      <c r="D16" s="4">
        <v>0.25</v>
      </c>
      <c r="E16" s="4" t="e">
        <v>#DIV/0!</v>
      </c>
      <c r="F16" s="4">
        <f t="shared" si="0"/>
        <v>0.25</v>
      </c>
      <c r="G16" s="4"/>
      <c r="H16" s="4">
        <f t="shared" si="1"/>
        <v>0</v>
      </c>
      <c r="I16" s="4">
        <v>0.29166666666666669</v>
      </c>
    </row>
    <row r="17" spans="1:9">
      <c r="A17" s="6" t="s">
        <v>263</v>
      </c>
      <c r="B17" s="7">
        <v>2</v>
      </c>
      <c r="C17" s="4">
        <v>2.7384259259259261E-2</v>
      </c>
      <c r="D17" s="4">
        <v>2.7384259259259261E-2</v>
      </c>
      <c r="E17" s="4" t="e">
        <v>#DIV/0!</v>
      </c>
      <c r="F17" s="4">
        <f t="shared" si="0"/>
        <v>2.7384259259259261E-2</v>
      </c>
      <c r="G17" s="4"/>
      <c r="H17" s="4">
        <f t="shared" si="1"/>
        <v>0</v>
      </c>
      <c r="I17" s="4">
        <v>0.29166666666666669</v>
      </c>
    </row>
    <row r="18" spans="1:9">
      <c r="A18" s="6" t="s">
        <v>242</v>
      </c>
      <c r="B18" s="7">
        <v>11</v>
      </c>
      <c r="C18" s="4">
        <v>0.23855324074074075</v>
      </c>
      <c r="D18" s="4">
        <v>0.27837962962962959</v>
      </c>
      <c r="E18" s="4">
        <v>2.6747685185185187E-2</v>
      </c>
      <c r="F18" s="4">
        <f t="shared" si="0"/>
        <v>0.26530092592592591</v>
      </c>
      <c r="G18" s="4"/>
      <c r="H18" s="4">
        <f t="shared" si="1"/>
        <v>0</v>
      </c>
      <c r="I18" s="4">
        <v>0.29166666666666669</v>
      </c>
    </row>
    <row r="19" spans="1:9">
      <c r="A19" s="6" t="s">
        <v>290</v>
      </c>
      <c r="B19" s="7">
        <v>19</v>
      </c>
      <c r="C19" s="4">
        <v>0.27938657407407408</v>
      </c>
      <c r="D19" s="4">
        <v>0.28055555555555561</v>
      </c>
      <c r="E19" s="4">
        <v>1.7384259259259259E-2</v>
      </c>
      <c r="F19" s="4">
        <f t="shared" si="0"/>
        <v>0.29677083333333332</v>
      </c>
      <c r="G19" s="4"/>
      <c r="H19" s="4">
        <f t="shared" si="1"/>
        <v>5.1041666666666319E-3</v>
      </c>
      <c r="I19" s="4">
        <v>0.29166666666666669</v>
      </c>
    </row>
    <row r="20" spans="1:9">
      <c r="A20" s="6" t="s">
        <v>289</v>
      </c>
      <c r="B20" s="7">
        <v>17</v>
      </c>
      <c r="C20" s="4">
        <v>0.28130787037037036</v>
      </c>
      <c r="D20" s="4">
        <v>0.32502314814814814</v>
      </c>
      <c r="E20" s="4">
        <v>1.5208333333333331E-2</v>
      </c>
      <c r="F20" s="4">
        <f t="shared" si="0"/>
        <v>0.29651620370370368</v>
      </c>
      <c r="G20" s="4"/>
      <c r="H20" s="4">
        <f t="shared" si="1"/>
        <v>4.8495370370369995E-3</v>
      </c>
      <c r="I20" s="4">
        <v>0.29166666666666669</v>
      </c>
    </row>
    <row r="21" spans="1:9">
      <c r="A21" s="6" t="s">
        <v>296</v>
      </c>
      <c r="B21" s="7">
        <v>21</v>
      </c>
      <c r="C21" s="4">
        <v>2.7002314814814816E-2</v>
      </c>
      <c r="D21" s="4">
        <v>5.5312500000000007E-2</v>
      </c>
      <c r="E21" s="4" t="e">
        <v>#DIV/0!</v>
      </c>
      <c r="F21" s="4">
        <f t="shared" si="0"/>
        <v>2.7002314814814816E-2</v>
      </c>
      <c r="G21" s="4"/>
      <c r="H21" s="4">
        <f t="shared" si="1"/>
        <v>0</v>
      </c>
      <c r="I21" s="4">
        <v>0.29166666666666669</v>
      </c>
    </row>
    <row r="22" spans="1:9">
      <c r="A22" s="6" t="s">
        <v>271</v>
      </c>
      <c r="B22" s="7">
        <v>7</v>
      </c>
      <c r="C22" s="4">
        <v>0.29641203703703706</v>
      </c>
      <c r="D22" s="4">
        <v>0.25208333333333333</v>
      </c>
      <c r="E22" s="4" t="e">
        <v>#DIV/0!</v>
      </c>
      <c r="F22" s="4">
        <f t="shared" si="0"/>
        <v>0.25208333333333333</v>
      </c>
      <c r="G22" s="4"/>
      <c r="H22" s="4">
        <f t="shared" si="1"/>
        <v>0</v>
      </c>
      <c r="I22" s="4">
        <v>0.29166666666666669</v>
      </c>
    </row>
    <row r="23" spans="1:9">
      <c r="A23" s="6" t="s">
        <v>292</v>
      </c>
      <c r="B23" s="7">
        <v>13</v>
      </c>
      <c r="C23" s="4">
        <v>0.31680555555555556</v>
      </c>
      <c r="D23" s="4">
        <v>0.23976851851851855</v>
      </c>
      <c r="E23" s="4">
        <v>1.7002314814814814E-2</v>
      </c>
      <c r="F23" s="4">
        <f t="shared" si="0"/>
        <v>0.25677083333333334</v>
      </c>
      <c r="G23" s="4"/>
      <c r="H23" s="4">
        <f t="shared" si="1"/>
        <v>0</v>
      </c>
      <c r="I23" s="4">
        <v>0.29166666666666669</v>
      </c>
    </row>
    <row r="24" spans="1:9">
      <c r="A24" s="6" t="s">
        <v>269</v>
      </c>
      <c r="B24" s="7">
        <v>3</v>
      </c>
      <c r="C24" s="4">
        <v>8.9027777777777775E-2</v>
      </c>
      <c r="D24" s="4">
        <v>8.9027777777777775E-2</v>
      </c>
      <c r="E24" s="4" t="e">
        <v>#DIV/0!</v>
      </c>
      <c r="F24" s="4">
        <f t="shared" si="0"/>
        <v>8.9027777777777775E-2</v>
      </c>
      <c r="G24" s="4"/>
      <c r="H24" s="4">
        <f t="shared" si="1"/>
        <v>0</v>
      </c>
      <c r="I24" s="4">
        <v>0.29166666666666669</v>
      </c>
    </row>
    <row r="25" spans="1:9">
      <c r="A25" s="6" t="s">
        <v>258</v>
      </c>
      <c r="B25" s="7">
        <v>11</v>
      </c>
      <c r="C25" s="4">
        <v>0.13363425925925926</v>
      </c>
      <c r="D25" s="4">
        <v>4.327546296296296E-2</v>
      </c>
      <c r="E25" s="4" t="e">
        <v>#DIV/0!</v>
      </c>
      <c r="F25" s="4">
        <f t="shared" si="0"/>
        <v>4.327546296296296E-2</v>
      </c>
      <c r="G25" s="4"/>
      <c r="H25" s="4">
        <f t="shared" si="1"/>
        <v>0</v>
      </c>
      <c r="I25" s="4">
        <v>0.29166666666666669</v>
      </c>
    </row>
    <row r="26" spans="1:9">
      <c r="A26" s="6" t="s">
        <v>209</v>
      </c>
      <c r="B26" s="7">
        <v>13</v>
      </c>
      <c r="C26" s="4">
        <v>0.30989583333333331</v>
      </c>
      <c r="D26" s="4">
        <v>0.29212962962962963</v>
      </c>
      <c r="E26" s="4" t="e">
        <v>#DIV/0!</v>
      </c>
      <c r="F26" s="4">
        <f t="shared" si="0"/>
        <v>0.29212962962962963</v>
      </c>
      <c r="G26" s="4"/>
      <c r="H26" s="4">
        <f t="shared" si="1"/>
        <v>4.6296296296294281E-4</v>
      </c>
      <c r="I26" s="4">
        <v>0.29166666666666669</v>
      </c>
    </row>
    <row r="27" spans="1:9">
      <c r="A27" s="6" t="s">
        <v>274</v>
      </c>
      <c r="B27" s="7">
        <v>8</v>
      </c>
      <c r="C27" s="4">
        <v>0.22769675925925925</v>
      </c>
      <c r="D27" s="4">
        <v>0.29166666666666669</v>
      </c>
      <c r="E27" s="4" t="e">
        <v>#DIV/0!</v>
      </c>
      <c r="F27" s="4">
        <f t="shared" si="0"/>
        <v>0.22769675925925925</v>
      </c>
      <c r="G27" s="4"/>
      <c r="H27" s="4">
        <f t="shared" si="1"/>
        <v>0</v>
      </c>
      <c r="I27" s="4">
        <v>0.29166666666666669</v>
      </c>
    </row>
    <row r="28" spans="1:9">
      <c r="A28" s="6" t="s">
        <v>287</v>
      </c>
      <c r="B28" s="7">
        <v>23</v>
      </c>
      <c r="C28" s="4">
        <v>0.25462962962962954</v>
      </c>
      <c r="D28" s="4">
        <v>0.39886574074074083</v>
      </c>
      <c r="E28" s="4" t="e">
        <v>#DIV/0!</v>
      </c>
      <c r="F28" s="4">
        <f t="shared" si="0"/>
        <v>0.25462962962962954</v>
      </c>
      <c r="G28" s="4"/>
      <c r="H28" s="4">
        <f t="shared" si="1"/>
        <v>0</v>
      </c>
      <c r="I28" s="4">
        <v>0.29166666666666669</v>
      </c>
    </row>
    <row r="29" spans="1:9">
      <c r="A29" s="6" t="s">
        <v>264</v>
      </c>
      <c r="B29" s="7">
        <v>1</v>
      </c>
      <c r="C29" s="4">
        <v>1.9189814814814816E-2</v>
      </c>
      <c r="D29" s="4">
        <v>1.9189814814814816E-2</v>
      </c>
      <c r="E29" s="4" t="e">
        <v>#DIV/0!</v>
      </c>
      <c r="F29" s="4">
        <f t="shared" si="0"/>
        <v>1.9189814814814816E-2</v>
      </c>
      <c r="G29" s="4"/>
      <c r="H29" s="4">
        <f t="shared" si="1"/>
        <v>0</v>
      </c>
      <c r="I29" s="4">
        <v>0.29166666666666669</v>
      </c>
    </row>
    <row r="30" spans="1:9">
      <c r="A30" s="6" t="s">
        <v>298</v>
      </c>
      <c r="B30" s="7">
        <v>290</v>
      </c>
      <c r="C30" s="4">
        <v>5.3092129629629623</v>
      </c>
      <c r="D30" s="4">
        <v>5.6351736111111252</v>
      </c>
      <c r="E30" s="4">
        <v>1.6565096053997919E-2</v>
      </c>
    </row>
  </sheetData>
  <autoFilter ref="F4:I30"/>
  <conditionalFormatting sqref="F5">
    <cfRule type="cellIs" dxfId="3" priority="2" operator="lessThan">
      <formula>0.276388888888889</formula>
    </cfRule>
  </conditionalFormatting>
  <conditionalFormatting sqref="F6:F29">
    <cfRule type="cellIs" dxfId="2" priority="1" operator="lessThan">
      <formula>0.276388888888889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36"/>
  <sheetViews>
    <sheetView workbookViewId="0">
      <selection sqref="A1:AI336"/>
    </sheetView>
  </sheetViews>
  <sheetFormatPr defaultRowHeight="14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15842</v>
      </c>
      <c r="B2" t="s">
        <v>209</v>
      </c>
      <c r="C2">
        <v>7634</v>
      </c>
      <c r="D2" t="s">
        <v>210</v>
      </c>
      <c r="E2">
        <v>3874</v>
      </c>
      <c r="F2" t="s">
        <v>211</v>
      </c>
      <c r="G2" s="1">
        <v>46074</v>
      </c>
      <c r="H2" t="s">
        <v>64</v>
      </c>
      <c r="I2" t="s">
        <v>45</v>
      </c>
      <c r="J2" t="s">
        <v>76</v>
      </c>
      <c r="K2" t="s">
        <v>80</v>
      </c>
      <c r="L2">
        <v>101593</v>
      </c>
      <c r="M2">
        <v>0</v>
      </c>
      <c r="N2">
        <v>0</v>
      </c>
      <c r="O2">
        <v>0</v>
      </c>
      <c r="P2" t="s">
        <v>52</v>
      </c>
      <c r="Q2" t="s">
        <v>140</v>
      </c>
      <c r="R2" t="s">
        <v>36</v>
      </c>
      <c r="S2" t="s">
        <v>81</v>
      </c>
      <c r="T2" s="2">
        <v>46074.400451388887</v>
      </c>
      <c r="U2" s="2">
        <v>46074.442129629628</v>
      </c>
      <c r="V2" s="3">
        <v>4.1678240740740745E-2</v>
      </c>
      <c r="W2" t="s">
        <v>60</v>
      </c>
      <c r="X2">
        <v>37</v>
      </c>
      <c r="Y2">
        <v>37</v>
      </c>
      <c r="Z2" s="3">
        <v>4.1666666666666664E-2</v>
      </c>
      <c r="AA2">
        <v>1</v>
      </c>
      <c r="AB2" t="s">
        <v>48</v>
      </c>
      <c r="AC2" s="3">
        <v>0.29212962962962963</v>
      </c>
      <c r="AD2" t="s">
        <v>64</v>
      </c>
      <c r="AE2" t="s">
        <v>38</v>
      </c>
      <c r="AF2" t="s">
        <v>39</v>
      </c>
      <c r="AG2" t="s">
        <v>40</v>
      </c>
      <c r="AH2" t="s">
        <v>35</v>
      </c>
      <c r="AI2" t="s">
        <v>41</v>
      </c>
    </row>
    <row r="3" spans="1:35">
      <c r="A3">
        <v>15842</v>
      </c>
      <c r="B3" t="s">
        <v>209</v>
      </c>
      <c r="C3">
        <v>7634</v>
      </c>
      <c r="D3" t="s">
        <v>210</v>
      </c>
      <c r="E3">
        <v>3874</v>
      </c>
      <c r="F3" t="s">
        <v>211</v>
      </c>
      <c r="G3" s="1">
        <v>46074</v>
      </c>
      <c r="H3" t="s">
        <v>64</v>
      </c>
      <c r="I3" t="s">
        <v>45</v>
      </c>
      <c r="J3" t="s">
        <v>158</v>
      </c>
      <c r="K3" t="s">
        <v>212</v>
      </c>
      <c r="L3">
        <v>827</v>
      </c>
      <c r="M3">
        <v>0</v>
      </c>
      <c r="N3">
        <v>0</v>
      </c>
      <c r="O3">
        <v>0</v>
      </c>
      <c r="P3" t="s">
        <v>52</v>
      </c>
      <c r="Q3" t="s">
        <v>140</v>
      </c>
      <c r="R3" t="s">
        <v>36</v>
      </c>
      <c r="S3" t="s">
        <v>87</v>
      </c>
      <c r="T3" s="2">
        <v>46074.367152777777</v>
      </c>
      <c r="U3" s="2">
        <v>46074.400381944448</v>
      </c>
      <c r="V3" s="3">
        <v>3.3229166666666664E-2</v>
      </c>
      <c r="W3" t="s">
        <v>60</v>
      </c>
      <c r="X3">
        <v>28</v>
      </c>
      <c r="Y3">
        <v>40</v>
      </c>
      <c r="Z3" s="3">
        <v>2.9166666666666664E-2</v>
      </c>
      <c r="AA3">
        <v>0.7</v>
      </c>
      <c r="AB3" t="s">
        <v>48</v>
      </c>
      <c r="AC3" s="3">
        <v>0.29212962962962963</v>
      </c>
      <c r="AD3" t="s">
        <v>64</v>
      </c>
      <c r="AE3" t="s">
        <v>38</v>
      </c>
      <c r="AF3" t="s">
        <v>39</v>
      </c>
      <c r="AG3" t="s">
        <v>40</v>
      </c>
      <c r="AH3" t="s">
        <v>35</v>
      </c>
      <c r="AI3" t="s">
        <v>41</v>
      </c>
    </row>
    <row r="4" spans="1:35">
      <c r="A4">
        <v>15842</v>
      </c>
      <c r="B4" t="s">
        <v>209</v>
      </c>
      <c r="C4">
        <v>7634</v>
      </c>
      <c r="D4" t="s">
        <v>210</v>
      </c>
      <c r="E4">
        <v>3874</v>
      </c>
      <c r="F4" t="s">
        <v>211</v>
      </c>
      <c r="G4" s="1">
        <v>46074</v>
      </c>
      <c r="H4" t="s">
        <v>64</v>
      </c>
      <c r="I4" t="s">
        <v>45</v>
      </c>
      <c r="J4" t="s">
        <v>158</v>
      </c>
      <c r="K4" t="s">
        <v>213</v>
      </c>
      <c r="L4">
        <v>1408</v>
      </c>
      <c r="M4">
        <v>0</v>
      </c>
      <c r="N4">
        <v>0</v>
      </c>
      <c r="O4">
        <v>0</v>
      </c>
      <c r="P4" t="s">
        <v>52</v>
      </c>
      <c r="Q4" t="s">
        <v>140</v>
      </c>
      <c r="R4" t="s">
        <v>36</v>
      </c>
      <c r="S4" t="s">
        <v>205</v>
      </c>
      <c r="T4" s="2">
        <v>46074.546631944446</v>
      </c>
      <c r="U4" s="2">
        <v>46074.570462962962</v>
      </c>
      <c r="V4" s="3">
        <v>2.3831018518518519E-2</v>
      </c>
      <c r="W4" t="s">
        <v>60</v>
      </c>
      <c r="X4">
        <v>35</v>
      </c>
      <c r="Y4">
        <v>37</v>
      </c>
      <c r="Z4" s="3">
        <v>3.9409722222222221E-2</v>
      </c>
      <c r="AA4">
        <v>0.95</v>
      </c>
      <c r="AB4" t="s">
        <v>48</v>
      </c>
      <c r="AC4" s="3">
        <v>0.29212962962962963</v>
      </c>
      <c r="AD4" t="s">
        <v>64</v>
      </c>
      <c r="AE4" t="s">
        <v>38</v>
      </c>
      <c r="AF4" t="s">
        <v>39</v>
      </c>
      <c r="AG4" t="s">
        <v>40</v>
      </c>
      <c r="AH4" t="s">
        <v>35</v>
      </c>
      <c r="AI4" t="s">
        <v>41</v>
      </c>
    </row>
    <row r="5" spans="1:35">
      <c r="A5">
        <v>15842</v>
      </c>
      <c r="B5" t="s">
        <v>209</v>
      </c>
      <c r="C5">
        <v>7634</v>
      </c>
      <c r="D5" t="s">
        <v>210</v>
      </c>
      <c r="E5">
        <v>3874</v>
      </c>
      <c r="F5" t="s">
        <v>211</v>
      </c>
      <c r="G5" s="1">
        <v>46074</v>
      </c>
      <c r="H5" t="s">
        <v>64</v>
      </c>
      <c r="I5" t="s">
        <v>45</v>
      </c>
      <c r="J5" t="s">
        <v>158</v>
      </c>
      <c r="K5" t="s">
        <v>213</v>
      </c>
      <c r="L5">
        <v>1407</v>
      </c>
      <c r="M5">
        <v>0</v>
      </c>
      <c r="N5">
        <v>0</v>
      </c>
      <c r="O5">
        <v>0</v>
      </c>
      <c r="P5" t="s">
        <v>52</v>
      </c>
      <c r="Q5" t="s">
        <v>140</v>
      </c>
      <c r="R5" t="s">
        <v>36</v>
      </c>
      <c r="S5" t="s">
        <v>205</v>
      </c>
      <c r="T5" s="2">
        <v>46074.510844907411</v>
      </c>
      <c r="U5" s="2">
        <v>46074.533692129633</v>
      </c>
      <c r="V5" s="3">
        <v>2.2847222222222224E-2</v>
      </c>
      <c r="W5" t="s">
        <v>60</v>
      </c>
      <c r="X5">
        <v>18</v>
      </c>
      <c r="Y5">
        <v>37</v>
      </c>
      <c r="Z5" s="3">
        <v>2.0266203703703703E-2</v>
      </c>
      <c r="AA5">
        <v>0.49</v>
      </c>
      <c r="AB5" t="s">
        <v>48</v>
      </c>
      <c r="AC5" s="3">
        <v>0.29212962962962963</v>
      </c>
      <c r="AD5" t="s">
        <v>64</v>
      </c>
      <c r="AE5" t="s">
        <v>38</v>
      </c>
      <c r="AF5" t="s">
        <v>39</v>
      </c>
      <c r="AG5" t="s">
        <v>40</v>
      </c>
      <c r="AH5" t="s">
        <v>35</v>
      </c>
      <c r="AI5" t="s">
        <v>41</v>
      </c>
    </row>
    <row r="6" spans="1:35">
      <c r="A6">
        <v>15842</v>
      </c>
      <c r="B6" t="s">
        <v>209</v>
      </c>
      <c r="C6">
        <v>7634</v>
      </c>
      <c r="D6" t="s">
        <v>210</v>
      </c>
      <c r="E6">
        <v>3874</v>
      </c>
      <c r="F6" t="s">
        <v>211</v>
      </c>
      <c r="G6" s="1">
        <v>46074</v>
      </c>
      <c r="H6" t="s">
        <v>64</v>
      </c>
      <c r="I6" t="s">
        <v>45</v>
      </c>
      <c r="J6" t="s">
        <v>158</v>
      </c>
      <c r="K6" t="s">
        <v>214</v>
      </c>
      <c r="L6">
        <v>103391</v>
      </c>
      <c r="M6">
        <v>0</v>
      </c>
      <c r="N6">
        <v>0</v>
      </c>
      <c r="O6">
        <v>0</v>
      </c>
      <c r="P6" t="s">
        <v>52</v>
      </c>
      <c r="Q6" t="s">
        <v>140</v>
      </c>
      <c r="R6" t="s">
        <v>36</v>
      </c>
      <c r="S6" t="s">
        <v>97</v>
      </c>
      <c r="T6" s="2">
        <v>46074.616666666669</v>
      </c>
      <c r="U6" s="2">
        <v>46074.638171296298</v>
      </c>
      <c r="V6" s="3">
        <v>2.1504629629629627E-2</v>
      </c>
      <c r="W6" t="s">
        <v>60</v>
      </c>
      <c r="X6">
        <v>20</v>
      </c>
      <c r="Y6">
        <v>27</v>
      </c>
      <c r="Z6" s="3">
        <v>3.0856481481481481E-2</v>
      </c>
      <c r="AA6">
        <v>0.74</v>
      </c>
      <c r="AB6" t="s">
        <v>48</v>
      </c>
      <c r="AC6" s="3">
        <v>0.29212962962962963</v>
      </c>
      <c r="AD6" t="s">
        <v>64</v>
      </c>
      <c r="AE6" t="s">
        <v>38</v>
      </c>
      <c r="AF6" t="s">
        <v>39</v>
      </c>
      <c r="AG6" t="s">
        <v>40</v>
      </c>
      <c r="AH6" t="s">
        <v>35</v>
      </c>
      <c r="AI6" t="s">
        <v>41</v>
      </c>
    </row>
    <row r="7" spans="1:35">
      <c r="A7">
        <v>15842</v>
      </c>
      <c r="B7" t="s">
        <v>209</v>
      </c>
      <c r="C7">
        <v>7634</v>
      </c>
      <c r="D7" t="s">
        <v>210</v>
      </c>
      <c r="E7">
        <v>3874</v>
      </c>
      <c r="F7" t="s">
        <v>211</v>
      </c>
      <c r="G7" s="1">
        <v>46074</v>
      </c>
      <c r="H7" t="s">
        <v>64</v>
      </c>
      <c r="I7" t="s">
        <v>45</v>
      </c>
      <c r="J7" t="s">
        <v>105</v>
      </c>
      <c r="K7" t="s">
        <v>173</v>
      </c>
      <c r="L7">
        <v>103052</v>
      </c>
      <c r="M7">
        <v>0</v>
      </c>
      <c r="N7">
        <v>0</v>
      </c>
      <c r="O7">
        <v>0</v>
      </c>
      <c r="P7" t="s">
        <v>52</v>
      </c>
      <c r="Q7" t="s">
        <v>140</v>
      </c>
      <c r="R7" t="s">
        <v>36</v>
      </c>
      <c r="S7" t="s">
        <v>174</v>
      </c>
      <c r="T7" s="2">
        <v>46074.327037037037</v>
      </c>
      <c r="U7" s="2">
        <v>46074.336168981485</v>
      </c>
      <c r="V7" s="3">
        <v>9.1319444444444443E-3</v>
      </c>
      <c r="W7" t="s">
        <v>60</v>
      </c>
      <c r="X7">
        <v>1</v>
      </c>
      <c r="Y7">
        <v>37</v>
      </c>
      <c r="Z7" s="3">
        <v>1.1226851851851851E-3</v>
      </c>
      <c r="AA7">
        <v>0.03</v>
      </c>
      <c r="AB7" t="s">
        <v>48</v>
      </c>
      <c r="AC7" s="3">
        <v>0.29212962962962963</v>
      </c>
      <c r="AD7" t="s">
        <v>64</v>
      </c>
      <c r="AE7" t="s">
        <v>38</v>
      </c>
      <c r="AF7" t="s">
        <v>39</v>
      </c>
      <c r="AG7" t="s">
        <v>40</v>
      </c>
      <c r="AH7" t="s">
        <v>35</v>
      </c>
      <c r="AI7" t="s">
        <v>41</v>
      </c>
    </row>
    <row r="8" spans="1:35">
      <c r="A8">
        <v>15842</v>
      </c>
      <c r="B8" t="s">
        <v>209</v>
      </c>
      <c r="C8">
        <v>7634</v>
      </c>
      <c r="D8" t="s">
        <v>210</v>
      </c>
      <c r="E8">
        <v>3874</v>
      </c>
      <c r="F8" t="s">
        <v>211</v>
      </c>
      <c r="G8" s="1">
        <v>46074</v>
      </c>
      <c r="H8" t="s">
        <v>64</v>
      </c>
      <c r="I8" t="s">
        <v>45</v>
      </c>
      <c r="J8" t="s">
        <v>158</v>
      </c>
      <c r="K8" t="s">
        <v>213</v>
      </c>
      <c r="L8">
        <v>1412</v>
      </c>
      <c r="M8">
        <v>0</v>
      </c>
      <c r="N8">
        <v>0</v>
      </c>
      <c r="O8">
        <v>0</v>
      </c>
      <c r="P8" t="s">
        <v>52</v>
      </c>
      <c r="Q8" t="s">
        <v>140</v>
      </c>
      <c r="R8" t="s">
        <v>36</v>
      </c>
      <c r="S8" t="s">
        <v>205</v>
      </c>
      <c r="T8" s="2">
        <v>46074.533761574072</v>
      </c>
      <c r="U8" s="2">
        <v>46074.546539351853</v>
      </c>
      <c r="V8" s="3">
        <v>1.2777777777777777E-2</v>
      </c>
      <c r="W8" t="s">
        <v>60</v>
      </c>
      <c r="X8">
        <v>13</v>
      </c>
      <c r="Y8">
        <v>37</v>
      </c>
      <c r="Z8" s="3">
        <v>1.462962962962963E-2</v>
      </c>
      <c r="AA8">
        <v>0.35</v>
      </c>
      <c r="AB8" t="s">
        <v>48</v>
      </c>
      <c r="AC8" s="3">
        <v>0.29212962962962963</v>
      </c>
      <c r="AD8" t="s">
        <v>64</v>
      </c>
      <c r="AE8" t="s">
        <v>38</v>
      </c>
      <c r="AF8" t="s">
        <v>39</v>
      </c>
      <c r="AG8" t="s">
        <v>40</v>
      </c>
      <c r="AH8" t="s">
        <v>35</v>
      </c>
      <c r="AI8" t="s">
        <v>41</v>
      </c>
    </row>
    <row r="9" spans="1:35">
      <c r="A9">
        <v>15842</v>
      </c>
      <c r="B9" t="s">
        <v>209</v>
      </c>
      <c r="C9">
        <v>7634</v>
      </c>
      <c r="D9" t="s">
        <v>210</v>
      </c>
      <c r="E9">
        <v>3874</v>
      </c>
      <c r="F9" t="s">
        <v>211</v>
      </c>
      <c r="G9" s="1">
        <v>46074</v>
      </c>
      <c r="H9" t="s">
        <v>64</v>
      </c>
      <c r="I9" t="s">
        <v>45</v>
      </c>
      <c r="J9" t="s">
        <v>85</v>
      </c>
      <c r="K9" t="s">
        <v>136</v>
      </c>
      <c r="L9">
        <v>0</v>
      </c>
      <c r="M9">
        <v>103</v>
      </c>
      <c r="N9">
        <v>4</v>
      </c>
      <c r="P9" t="s">
        <v>53</v>
      </c>
      <c r="Q9" t="s">
        <v>62</v>
      </c>
      <c r="R9" t="s">
        <v>36</v>
      </c>
      <c r="S9" t="s">
        <v>137</v>
      </c>
      <c r="T9" s="2">
        <v>46074.456979166665</v>
      </c>
      <c r="U9" s="2">
        <v>46074.481817129628</v>
      </c>
      <c r="V9" s="3">
        <v>2.4837962962962964E-2</v>
      </c>
      <c r="W9" t="s">
        <v>49</v>
      </c>
      <c r="X9">
        <v>1</v>
      </c>
      <c r="Y9">
        <v>4</v>
      </c>
      <c r="Z9" s="3">
        <v>1.0416666666666666E-2</v>
      </c>
      <c r="AA9">
        <v>0.25</v>
      </c>
      <c r="AB9" t="s">
        <v>48</v>
      </c>
      <c r="AC9" s="3">
        <v>0.29212962962962963</v>
      </c>
      <c r="AD9" t="s">
        <v>64</v>
      </c>
      <c r="AE9" t="s">
        <v>38</v>
      </c>
      <c r="AF9" t="s">
        <v>39</v>
      </c>
      <c r="AG9" t="s">
        <v>40</v>
      </c>
      <c r="AH9" t="s">
        <v>35</v>
      </c>
      <c r="AI9" t="s">
        <v>41</v>
      </c>
    </row>
    <row r="10" spans="1:35">
      <c r="A10">
        <v>15842</v>
      </c>
      <c r="B10" t="s">
        <v>209</v>
      </c>
      <c r="C10">
        <v>7634</v>
      </c>
      <c r="D10" t="s">
        <v>210</v>
      </c>
      <c r="E10">
        <v>3874</v>
      </c>
      <c r="F10" t="s">
        <v>211</v>
      </c>
      <c r="G10" s="1">
        <v>46074</v>
      </c>
      <c r="H10" t="s">
        <v>64</v>
      </c>
      <c r="I10" t="s">
        <v>45</v>
      </c>
      <c r="J10" t="s">
        <v>158</v>
      </c>
      <c r="K10" t="s">
        <v>213</v>
      </c>
      <c r="L10">
        <v>1406</v>
      </c>
      <c r="M10">
        <v>0</v>
      </c>
      <c r="N10">
        <v>0</v>
      </c>
      <c r="O10">
        <v>0</v>
      </c>
      <c r="P10" t="s">
        <v>52</v>
      </c>
      <c r="Q10" t="s">
        <v>140</v>
      </c>
      <c r="R10" t="s">
        <v>36</v>
      </c>
      <c r="S10" t="s">
        <v>205</v>
      </c>
      <c r="T10" s="2">
        <v>46074.481886574074</v>
      </c>
      <c r="U10" s="2">
        <v>46074.510787037034</v>
      </c>
      <c r="V10" s="3">
        <v>2.8900462962962961E-2</v>
      </c>
      <c r="W10" t="s">
        <v>60</v>
      </c>
      <c r="X10">
        <v>26</v>
      </c>
      <c r="Y10">
        <v>37</v>
      </c>
      <c r="Z10" s="3">
        <v>2.9270833333333333E-2</v>
      </c>
      <c r="AA10">
        <v>0.7</v>
      </c>
      <c r="AB10" t="s">
        <v>48</v>
      </c>
      <c r="AC10" s="3">
        <v>0.29212962962962963</v>
      </c>
      <c r="AD10" t="s">
        <v>64</v>
      </c>
      <c r="AE10" t="s">
        <v>38</v>
      </c>
      <c r="AF10" t="s">
        <v>39</v>
      </c>
      <c r="AG10" t="s">
        <v>40</v>
      </c>
      <c r="AH10" t="s">
        <v>35</v>
      </c>
      <c r="AI10" t="s">
        <v>41</v>
      </c>
    </row>
    <row r="11" spans="1:35">
      <c r="A11">
        <v>15842</v>
      </c>
      <c r="B11" t="s">
        <v>209</v>
      </c>
      <c r="C11">
        <v>7634</v>
      </c>
      <c r="D11" t="s">
        <v>210</v>
      </c>
      <c r="E11">
        <v>3874</v>
      </c>
      <c r="F11" t="s">
        <v>211</v>
      </c>
      <c r="G11" s="1">
        <v>46074</v>
      </c>
      <c r="H11" t="s">
        <v>64</v>
      </c>
      <c r="I11" t="s">
        <v>45</v>
      </c>
      <c r="J11" t="s">
        <v>158</v>
      </c>
      <c r="K11" t="s">
        <v>213</v>
      </c>
      <c r="L11">
        <v>1411</v>
      </c>
      <c r="M11">
        <v>0</v>
      </c>
      <c r="N11">
        <v>0</v>
      </c>
      <c r="O11">
        <v>0</v>
      </c>
      <c r="P11" t="s">
        <v>52</v>
      </c>
      <c r="Q11" t="s">
        <v>140</v>
      </c>
      <c r="R11" t="s">
        <v>36</v>
      </c>
      <c r="S11" t="s">
        <v>205</v>
      </c>
      <c r="T11" s="2">
        <v>46074.574189814812</v>
      </c>
      <c r="U11" s="2">
        <v>46074.616620370369</v>
      </c>
      <c r="V11" s="3">
        <v>4.2430555555555555E-2</v>
      </c>
      <c r="W11" t="s">
        <v>60</v>
      </c>
      <c r="X11">
        <v>34</v>
      </c>
      <c r="Y11">
        <v>37</v>
      </c>
      <c r="Z11" s="3">
        <v>3.8287037037037036E-2</v>
      </c>
      <c r="AA11">
        <v>0.92</v>
      </c>
      <c r="AB11" t="s">
        <v>48</v>
      </c>
      <c r="AC11" s="3">
        <v>0.29212962962962963</v>
      </c>
      <c r="AD11" t="s">
        <v>64</v>
      </c>
      <c r="AE11" t="s">
        <v>38</v>
      </c>
      <c r="AF11" t="s">
        <v>39</v>
      </c>
      <c r="AG11" t="s">
        <v>40</v>
      </c>
      <c r="AH11" t="s">
        <v>35</v>
      </c>
      <c r="AI11" t="s">
        <v>41</v>
      </c>
    </row>
    <row r="12" spans="1:35">
      <c r="A12">
        <v>15842</v>
      </c>
      <c r="B12" t="s">
        <v>209</v>
      </c>
      <c r="C12">
        <v>7634</v>
      </c>
      <c r="D12" t="s">
        <v>210</v>
      </c>
      <c r="E12">
        <v>3874</v>
      </c>
      <c r="F12" t="s">
        <v>211</v>
      </c>
      <c r="G12" s="1">
        <v>46074</v>
      </c>
      <c r="H12" t="s">
        <v>64</v>
      </c>
      <c r="I12" t="s">
        <v>45</v>
      </c>
      <c r="J12" t="s">
        <v>118</v>
      </c>
      <c r="K12" t="s">
        <v>119</v>
      </c>
      <c r="L12">
        <v>5111</v>
      </c>
      <c r="M12">
        <v>0</v>
      </c>
      <c r="N12">
        <v>0</v>
      </c>
      <c r="O12">
        <v>0</v>
      </c>
      <c r="P12" t="s">
        <v>52</v>
      </c>
      <c r="Q12" t="s">
        <v>140</v>
      </c>
      <c r="R12" t="s">
        <v>36</v>
      </c>
      <c r="S12" t="s">
        <v>120</v>
      </c>
      <c r="T12" s="2">
        <v>46074.442349537036</v>
      </c>
      <c r="U12" s="2">
        <v>46074.456921296296</v>
      </c>
      <c r="V12" s="3">
        <v>1.4571759259259258E-2</v>
      </c>
      <c r="W12" t="s">
        <v>60</v>
      </c>
      <c r="X12">
        <v>1</v>
      </c>
      <c r="Y12">
        <v>37</v>
      </c>
      <c r="Z12" s="3">
        <v>1.0787037037037038E-2</v>
      </c>
      <c r="AA12">
        <v>0.03</v>
      </c>
      <c r="AB12" t="s">
        <v>48</v>
      </c>
      <c r="AC12" s="3">
        <v>0.29212962962962963</v>
      </c>
      <c r="AD12" t="s">
        <v>64</v>
      </c>
      <c r="AE12" t="s">
        <v>38</v>
      </c>
      <c r="AF12" t="s">
        <v>39</v>
      </c>
      <c r="AG12" t="s">
        <v>40</v>
      </c>
      <c r="AH12" t="s">
        <v>35</v>
      </c>
      <c r="AI12" t="s">
        <v>41</v>
      </c>
    </row>
    <row r="13" spans="1:35">
      <c r="A13">
        <v>15842</v>
      </c>
      <c r="B13" t="s">
        <v>209</v>
      </c>
      <c r="C13">
        <v>7634</v>
      </c>
      <c r="D13" t="s">
        <v>210</v>
      </c>
      <c r="E13">
        <v>3874</v>
      </c>
      <c r="F13" t="s">
        <v>211</v>
      </c>
      <c r="G13" s="1">
        <v>46074</v>
      </c>
      <c r="H13" t="s">
        <v>64</v>
      </c>
      <c r="I13" t="s">
        <v>45</v>
      </c>
      <c r="J13" t="s">
        <v>158</v>
      </c>
      <c r="K13" t="s">
        <v>159</v>
      </c>
      <c r="L13">
        <v>106889</v>
      </c>
      <c r="M13">
        <v>0</v>
      </c>
      <c r="N13">
        <v>0</v>
      </c>
      <c r="O13">
        <v>0</v>
      </c>
      <c r="P13" t="s">
        <v>52</v>
      </c>
      <c r="Q13" t="s">
        <v>140</v>
      </c>
      <c r="R13" t="s">
        <v>36</v>
      </c>
      <c r="S13" t="s">
        <v>160</v>
      </c>
      <c r="T13" s="2">
        <v>46074.33625</v>
      </c>
      <c r="U13" s="2">
        <v>46074.367083333331</v>
      </c>
      <c r="V13" s="3">
        <v>3.0833333333333334E-2</v>
      </c>
      <c r="W13" t="s">
        <v>60</v>
      </c>
      <c r="X13">
        <v>22</v>
      </c>
      <c r="Y13">
        <v>37</v>
      </c>
      <c r="Z13" s="3">
        <v>2.476851851851852E-2</v>
      </c>
      <c r="AA13">
        <v>0.59</v>
      </c>
      <c r="AB13" t="s">
        <v>48</v>
      </c>
      <c r="AC13" s="3">
        <v>0.29212962962962963</v>
      </c>
      <c r="AD13" t="s">
        <v>64</v>
      </c>
      <c r="AE13" t="s">
        <v>38</v>
      </c>
      <c r="AF13" t="s">
        <v>39</v>
      </c>
      <c r="AG13" t="s">
        <v>40</v>
      </c>
      <c r="AH13" t="s">
        <v>35</v>
      </c>
      <c r="AI13" t="s">
        <v>41</v>
      </c>
    </row>
    <row r="14" spans="1:35">
      <c r="A14">
        <v>15842</v>
      </c>
      <c r="B14" t="s">
        <v>209</v>
      </c>
      <c r="C14">
        <v>7634</v>
      </c>
      <c r="D14" t="s">
        <v>210</v>
      </c>
      <c r="E14">
        <v>3874</v>
      </c>
      <c r="F14" t="s">
        <v>211</v>
      </c>
      <c r="G14" s="1">
        <v>46074</v>
      </c>
      <c r="H14" t="s">
        <v>64</v>
      </c>
      <c r="I14" t="s">
        <v>45</v>
      </c>
      <c r="J14" t="s">
        <v>118</v>
      </c>
      <c r="K14" t="s">
        <v>170</v>
      </c>
      <c r="L14">
        <v>5903</v>
      </c>
      <c r="M14">
        <v>0</v>
      </c>
      <c r="N14">
        <v>0</v>
      </c>
      <c r="O14">
        <v>0</v>
      </c>
      <c r="P14" t="s">
        <v>52</v>
      </c>
      <c r="Q14" t="s">
        <v>215</v>
      </c>
      <c r="R14" t="s">
        <v>36</v>
      </c>
      <c r="S14" t="s">
        <v>171</v>
      </c>
      <c r="T14" s="2">
        <v>46074.570636574077</v>
      </c>
      <c r="U14" s="2">
        <v>46074.573958333334</v>
      </c>
      <c r="V14" s="3">
        <v>3.3217592592592591E-3</v>
      </c>
      <c r="W14" t="s">
        <v>49</v>
      </c>
      <c r="X14">
        <v>1</v>
      </c>
      <c r="Y14">
        <v>28</v>
      </c>
      <c r="Z14" s="3">
        <v>1.4814814814814814E-3</v>
      </c>
      <c r="AA14">
        <v>0.04</v>
      </c>
      <c r="AB14" t="s">
        <v>48</v>
      </c>
      <c r="AC14" s="3">
        <v>0.29212962962962963</v>
      </c>
      <c r="AD14" t="s">
        <v>64</v>
      </c>
      <c r="AE14" t="s">
        <v>38</v>
      </c>
      <c r="AF14" t="s">
        <v>39</v>
      </c>
      <c r="AG14" t="s">
        <v>40</v>
      </c>
      <c r="AH14" t="s">
        <v>35</v>
      </c>
      <c r="AI14" t="s">
        <v>44</v>
      </c>
    </row>
    <row r="15" spans="1:35">
      <c r="A15">
        <v>16681</v>
      </c>
      <c r="B15" t="s">
        <v>287</v>
      </c>
      <c r="C15">
        <v>4175</v>
      </c>
      <c r="D15" t="s">
        <v>195</v>
      </c>
      <c r="E15">
        <v>3874</v>
      </c>
      <c r="F15" t="s">
        <v>211</v>
      </c>
      <c r="G15" s="1">
        <v>46074</v>
      </c>
      <c r="H15" t="s">
        <v>64</v>
      </c>
      <c r="I15" t="s">
        <v>45</v>
      </c>
      <c r="J15" t="s">
        <v>102</v>
      </c>
      <c r="K15" t="s">
        <v>150</v>
      </c>
      <c r="L15">
        <v>107400</v>
      </c>
      <c r="M15">
        <v>0</v>
      </c>
      <c r="N15">
        <v>0</v>
      </c>
      <c r="O15">
        <v>0</v>
      </c>
      <c r="P15" t="s">
        <v>99</v>
      </c>
      <c r="Q15" t="s">
        <v>223</v>
      </c>
      <c r="R15" t="s">
        <v>36</v>
      </c>
      <c r="S15" t="s">
        <v>151</v>
      </c>
      <c r="T15" s="2">
        <v>46074.580717592595</v>
      </c>
      <c r="U15" s="2">
        <v>46074.586168981485</v>
      </c>
      <c r="V15" s="3">
        <v>5.4513888888888884E-3</v>
      </c>
      <c r="W15" t="s">
        <v>49</v>
      </c>
      <c r="X15">
        <v>1</v>
      </c>
      <c r="Y15">
        <v>4</v>
      </c>
      <c r="Z15" s="3">
        <v>1.0416666666666666E-2</v>
      </c>
      <c r="AA15">
        <v>0.25</v>
      </c>
      <c r="AB15" t="s">
        <v>48</v>
      </c>
      <c r="AC15" s="3">
        <v>0.39886574074074077</v>
      </c>
      <c r="AD15" t="s">
        <v>64</v>
      </c>
      <c r="AE15" t="s">
        <v>38</v>
      </c>
      <c r="AF15" t="s">
        <v>46</v>
      </c>
      <c r="AG15" t="s">
        <v>47</v>
      </c>
      <c r="AH15" t="s">
        <v>35</v>
      </c>
      <c r="AI15" t="s">
        <v>41</v>
      </c>
    </row>
    <row r="16" spans="1:35">
      <c r="A16">
        <v>16681</v>
      </c>
      <c r="B16" t="s">
        <v>287</v>
      </c>
      <c r="C16">
        <v>4175</v>
      </c>
      <c r="D16" t="s">
        <v>195</v>
      </c>
      <c r="E16">
        <v>3874</v>
      </c>
      <c r="F16" t="s">
        <v>211</v>
      </c>
      <c r="G16" s="1">
        <v>46074</v>
      </c>
      <c r="H16" t="s">
        <v>64</v>
      </c>
      <c r="I16" t="s">
        <v>45</v>
      </c>
      <c r="J16" t="s">
        <v>132</v>
      </c>
      <c r="K16" t="s">
        <v>133</v>
      </c>
      <c r="L16">
        <v>5387</v>
      </c>
      <c r="M16">
        <v>0</v>
      </c>
      <c r="N16">
        <v>0</v>
      </c>
      <c r="O16">
        <v>0</v>
      </c>
      <c r="P16" t="s">
        <v>99</v>
      </c>
      <c r="Q16" t="s">
        <v>224</v>
      </c>
      <c r="R16" t="s">
        <v>36</v>
      </c>
      <c r="S16" t="s">
        <v>134</v>
      </c>
      <c r="T16" s="2">
        <v>46074.566990740743</v>
      </c>
      <c r="U16" s="2">
        <v>46074.570601851854</v>
      </c>
      <c r="V16" s="3">
        <v>3.6111111111111114E-3</v>
      </c>
      <c r="W16" t="s">
        <v>49</v>
      </c>
      <c r="X16">
        <v>1</v>
      </c>
      <c r="Y16">
        <v>3</v>
      </c>
      <c r="Z16" s="3">
        <v>1.3888888888888888E-2</v>
      </c>
      <c r="AA16">
        <v>0.33</v>
      </c>
      <c r="AB16" t="s">
        <v>48</v>
      </c>
      <c r="AC16" s="3">
        <v>0.39886574074074077</v>
      </c>
      <c r="AD16" t="s">
        <v>64</v>
      </c>
      <c r="AE16" t="s">
        <v>38</v>
      </c>
      <c r="AF16" t="s">
        <v>46</v>
      </c>
      <c r="AG16" t="s">
        <v>47</v>
      </c>
      <c r="AH16" t="s">
        <v>35</v>
      </c>
      <c r="AI16" t="s">
        <v>41</v>
      </c>
    </row>
    <row r="17" spans="1:35">
      <c r="A17">
        <v>16681</v>
      </c>
      <c r="B17" t="s">
        <v>287</v>
      </c>
      <c r="C17">
        <v>4175</v>
      </c>
      <c r="D17" t="s">
        <v>195</v>
      </c>
      <c r="E17">
        <v>3874</v>
      </c>
      <c r="F17" t="s">
        <v>211</v>
      </c>
      <c r="G17" s="1">
        <v>46074</v>
      </c>
      <c r="H17" t="s">
        <v>64</v>
      </c>
      <c r="I17" t="s">
        <v>45</v>
      </c>
      <c r="J17" t="s">
        <v>132</v>
      </c>
      <c r="K17" t="s">
        <v>188</v>
      </c>
      <c r="L17">
        <v>100252</v>
      </c>
      <c r="M17">
        <v>0</v>
      </c>
      <c r="N17">
        <v>0</v>
      </c>
      <c r="O17">
        <v>0</v>
      </c>
      <c r="P17" t="s">
        <v>99</v>
      </c>
      <c r="Q17" t="s">
        <v>224</v>
      </c>
      <c r="R17" t="s">
        <v>36</v>
      </c>
      <c r="S17" t="s">
        <v>186</v>
      </c>
      <c r="T17" s="2">
        <v>46074.619085648148</v>
      </c>
      <c r="U17" s="2">
        <v>46074.622557870367</v>
      </c>
      <c r="V17" s="3">
        <v>3.472222222222222E-3</v>
      </c>
      <c r="W17" t="s">
        <v>49</v>
      </c>
      <c r="X17">
        <v>1</v>
      </c>
      <c r="Y17">
        <v>4</v>
      </c>
      <c r="Z17" s="3">
        <v>1.0416666666666666E-2</v>
      </c>
      <c r="AA17">
        <v>0.25</v>
      </c>
      <c r="AB17" t="s">
        <v>48</v>
      </c>
      <c r="AC17" s="3">
        <v>0.39886574074074077</v>
      </c>
      <c r="AD17" t="s">
        <v>64</v>
      </c>
      <c r="AE17" t="s">
        <v>38</v>
      </c>
      <c r="AF17" t="s">
        <v>46</v>
      </c>
      <c r="AG17" t="s">
        <v>47</v>
      </c>
      <c r="AH17" t="s">
        <v>35</v>
      </c>
      <c r="AI17" t="s">
        <v>41</v>
      </c>
    </row>
    <row r="18" spans="1:35">
      <c r="A18">
        <v>16681</v>
      </c>
      <c r="B18" t="s">
        <v>287</v>
      </c>
      <c r="C18">
        <v>4175</v>
      </c>
      <c r="D18" t="s">
        <v>195</v>
      </c>
      <c r="E18">
        <v>3874</v>
      </c>
      <c r="F18" t="s">
        <v>211</v>
      </c>
      <c r="G18" s="1">
        <v>46074</v>
      </c>
      <c r="H18" t="s">
        <v>64</v>
      </c>
      <c r="I18" t="s">
        <v>45</v>
      </c>
      <c r="J18" t="s">
        <v>105</v>
      </c>
      <c r="K18" t="s">
        <v>106</v>
      </c>
      <c r="L18">
        <v>11773</v>
      </c>
      <c r="M18">
        <v>0</v>
      </c>
      <c r="N18">
        <v>0</v>
      </c>
      <c r="O18">
        <v>0</v>
      </c>
      <c r="P18" t="s">
        <v>99</v>
      </c>
      <c r="Q18" t="s">
        <v>224</v>
      </c>
      <c r="R18" t="s">
        <v>36</v>
      </c>
      <c r="S18" t="s">
        <v>107</v>
      </c>
      <c r="T18" s="2">
        <v>46074.562638888892</v>
      </c>
      <c r="U18" s="2">
        <v>46074.566921296297</v>
      </c>
      <c r="V18" s="3">
        <v>4.2824074074074075E-3</v>
      </c>
      <c r="W18" t="s">
        <v>49</v>
      </c>
      <c r="X18">
        <v>1</v>
      </c>
      <c r="Y18">
        <v>4</v>
      </c>
      <c r="Z18" s="3">
        <v>1.0416666666666666E-2</v>
      </c>
      <c r="AA18">
        <v>0.25</v>
      </c>
      <c r="AB18" t="s">
        <v>48</v>
      </c>
      <c r="AC18" s="3">
        <v>0.39886574074074077</v>
      </c>
      <c r="AD18" t="s">
        <v>64</v>
      </c>
      <c r="AE18" t="s">
        <v>38</v>
      </c>
      <c r="AF18" t="s">
        <v>46</v>
      </c>
      <c r="AG18" t="s">
        <v>47</v>
      </c>
      <c r="AH18" t="s">
        <v>35</v>
      </c>
      <c r="AI18" t="s">
        <v>41</v>
      </c>
    </row>
    <row r="19" spans="1:35">
      <c r="A19">
        <v>16681</v>
      </c>
      <c r="B19" t="s">
        <v>287</v>
      </c>
      <c r="C19">
        <v>4175</v>
      </c>
      <c r="D19" t="s">
        <v>195</v>
      </c>
      <c r="E19">
        <v>3874</v>
      </c>
      <c r="F19" t="s">
        <v>211</v>
      </c>
      <c r="G19" s="1">
        <v>46074</v>
      </c>
      <c r="H19" t="s">
        <v>64</v>
      </c>
      <c r="I19" t="s">
        <v>45</v>
      </c>
      <c r="J19" t="s">
        <v>132</v>
      </c>
      <c r="K19" t="s">
        <v>225</v>
      </c>
      <c r="L19">
        <v>106382</v>
      </c>
      <c r="M19">
        <v>0</v>
      </c>
      <c r="N19">
        <v>0</v>
      </c>
      <c r="O19">
        <v>0</v>
      </c>
      <c r="P19" t="s">
        <v>99</v>
      </c>
      <c r="Q19" t="s">
        <v>224</v>
      </c>
      <c r="R19" t="s">
        <v>36</v>
      </c>
      <c r="S19" t="s">
        <v>226</v>
      </c>
      <c r="T19" s="2">
        <v>46074.626921296294</v>
      </c>
      <c r="U19" s="2">
        <v>46074.638067129628</v>
      </c>
      <c r="V19" s="3">
        <v>1.1145833333333334E-2</v>
      </c>
      <c r="W19" t="s">
        <v>49</v>
      </c>
      <c r="X19">
        <v>1</v>
      </c>
      <c r="Y19">
        <v>3</v>
      </c>
      <c r="Z19" s="3">
        <v>1.3888888888888888E-2</v>
      </c>
      <c r="AA19">
        <v>0.33</v>
      </c>
      <c r="AB19" t="s">
        <v>48</v>
      </c>
      <c r="AC19" s="3">
        <v>0.39886574074074077</v>
      </c>
      <c r="AD19" t="s">
        <v>64</v>
      </c>
      <c r="AE19" t="s">
        <v>38</v>
      </c>
      <c r="AF19" t="s">
        <v>46</v>
      </c>
      <c r="AG19" t="s">
        <v>47</v>
      </c>
      <c r="AH19" t="s">
        <v>35</v>
      </c>
      <c r="AI19" t="s">
        <v>41</v>
      </c>
    </row>
    <row r="20" spans="1:35">
      <c r="A20">
        <v>16681</v>
      </c>
      <c r="B20" t="s">
        <v>287</v>
      </c>
      <c r="C20">
        <v>4175</v>
      </c>
      <c r="D20" t="s">
        <v>195</v>
      </c>
      <c r="E20">
        <v>3874</v>
      </c>
      <c r="F20" t="s">
        <v>211</v>
      </c>
      <c r="G20" s="1">
        <v>46074</v>
      </c>
      <c r="H20" t="s">
        <v>64</v>
      </c>
      <c r="I20" t="s">
        <v>45</v>
      </c>
      <c r="J20" t="s">
        <v>146</v>
      </c>
      <c r="K20" t="s">
        <v>227</v>
      </c>
      <c r="L20">
        <v>101636</v>
      </c>
      <c r="M20">
        <v>0</v>
      </c>
      <c r="N20">
        <v>0</v>
      </c>
      <c r="O20">
        <v>0</v>
      </c>
      <c r="P20" t="s">
        <v>99</v>
      </c>
      <c r="Q20" t="s">
        <v>223</v>
      </c>
      <c r="R20" t="s">
        <v>36</v>
      </c>
      <c r="S20" t="s">
        <v>97</v>
      </c>
      <c r="T20" s="2">
        <v>46074.570706018516</v>
      </c>
      <c r="U20" s="2">
        <v>46074.575138888889</v>
      </c>
      <c r="V20" s="3">
        <v>4.4328703703703709E-3</v>
      </c>
      <c r="W20" t="s">
        <v>49</v>
      </c>
      <c r="X20">
        <v>1</v>
      </c>
      <c r="Y20">
        <v>3</v>
      </c>
      <c r="Z20" s="3">
        <v>1.3888888888888888E-2</v>
      </c>
      <c r="AA20">
        <v>0.33</v>
      </c>
      <c r="AB20" t="s">
        <v>48</v>
      </c>
      <c r="AC20" s="3">
        <v>0.39886574074074077</v>
      </c>
      <c r="AD20" t="s">
        <v>64</v>
      </c>
      <c r="AE20" t="s">
        <v>38</v>
      </c>
      <c r="AF20" t="s">
        <v>46</v>
      </c>
      <c r="AG20" t="s">
        <v>47</v>
      </c>
      <c r="AH20" t="s">
        <v>35</v>
      </c>
      <c r="AI20" t="s">
        <v>41</v>
      </c>
    </row>
    <row r="21" spans="1:35">
      <c r="A21">
        <v>16681</v>
      </c>
      <c r="B21" t="s">
        <v>287</v>
      </c>
      <c r="C21">
        <v>4175</v>
      </c>
      <c r="D21" t="s">
        <v>195</v>
      </c>
      <c r="E21">
        <v>3874</v>
      </c>
      <c r="F21" t="s">
        <v>211</v>
      </c>
      <c r="G21" s="1">
        <v>46074</v>
      </c>
      <c r="H21" t="s">
        <v>64</v>
      </c>
      <c r="I21" t="s">
        <v>45</v>
      </c>
      <c r="J21" t="s">
        <v>105</v>
      </c>
      <c r="K21" t="s">
        <v>106</v>
      </c>
      <c r="L21">
        <v>11772</v>
      </c>
      <c r="M21">
        <v>0</v>
      </c>
      <c r="N21">
        <v>0</v>
      </c>
      <c r="O21">
        <v>0</v>
      </c>
      <c r="P21" t="s">
        <v>99</v>
      </c>
      <c r="Q21" t="s">
        <v>224</v>
      </c>
      <c r="R21" t="s">
        <v>36</v>
      </c>
      <c r="S21" t="s">
        <v>107</v>
      </c>
      <c r="T21" s="2">
        <v>46074.559976851851</v>
      </c>
      <c r="U21" s="2">
        <v>46074.562581018516</v>
      </c>
      <c r="V21" s="3">
        <v>2.6041666666666665E-3</v>
      </c>
      <c r="W21" t="s">
        <v>49</v>
      </c>
      <c r="X21">
        <v>1</v>
      </c>
      <c r="Y21">
        <v>4</v>
      </c>
      <c r="Z21" s="3">
        <v>1.0416666666666666E-2</v>
      </c>
      <c r="AA21">
        <v>0.25</v>
      </c>
      <c r="AB21" t="s">
        <v>48</v>
      </c>
      <c r="AC21" s="3">
        <v>0.39886574074074077</v>
      </c>
      <c r="AD21" t="s">
        <v>64</v>
      </c>
      <c r="AE21" t="s">
        <v>38</v>
      </c>
      <c r="AF21" t="s">
        <v>46</v>
      </c>
      <c r="AG21" t="s">
        <v>47</v>
      </c>
      <c r="AH21" t="s">
        <v>35</v>
      </c>
      <c r="AI21" t="s">
        <v>41</v>
      </c>
    </row>
    <row r="22" spans="1:35">
      <c r="A22">
        <v>16681</v>
      </c>
      <c r="B22" t="s">
        <v>287</v>
      </c>
      <c r="C22">
        <v>4175</v>
      </c>
      <c r="D22" t="s">
        <v>195</v>
      </c>
      <c r="E22">
        <v>3874</v>
      </c>
      <c r="F22" t="s">
        <v>211</v>
      </c>
      <c r="G22" s="1">
        <v>46074</v>
      </c>
      <c r="H22" t="s">
        <v>64</v>
      </c>
      <c r="I22" t="s">
        <v>45</v>
      </c>
      <c r="J22" t="s">
        <v>102</v>
      </c>
      <c r="K22" t="s">
        <v>150</v>
      </c>
      <c r="L22">
        <v>107395</v>
      </c>
      <c r="M22">
        <v>0</v>
      </c>
      <c r="N22">
        <v>0</v>
      </c>
      <c r="O22">
        <v>0</v>
      </c>
      <c r="P22" t="s">
        <v>99</v>
      </c>
      <c r="Q22" t="s">
        <v>223</v>
      </c>
      <c r="R22" t="s">
        <v>36</v>
      </c>
      <c r="S22" t="s">
        <v>151</v>
      </c>
      <c r="T22" s="2">
        <v>46074.593680555554</v>
      </c>
      <c r="U22" s="2">
        <v>46074.599131944444</v>
      </c>
      <c r="V22" s="3">
        <v>5.4513888888888884E-3</v>
      </c>
      <c r="W22" t="s">
        <v>49</v>
      </c>
      <c r="X22">
        <v>1</v>
      </c>
      <c r="Y22">
        <v>4</v>
      </c>
      <c r="Z22" s="3">
        <v>1.0416666666666666E-2</v>
      </c>
      <c r="AA22">
        <v>0.25</v>
      </c>
      <c r="AB22" t="s">
        <v>48</v>
      </c>
      <c r="AC22" s="3">
        <v>0.39886574074074077</v>
      </c>
      <c r="AD22" t="s">
        <v>64</v>
      </c>
      <c r="AE22" t="s">
        <v>38</v>
      </c>
      <c r="AF22" t="s">
        <v>46</v>
      </c>
      <c r="AG22" t="s">
        <v>47</v>
      </c>
      <c r="AH22" t="s">
        <v>35</v>
      </c>
      <c r="AI22" t="s">
        <v>41</v>
      </c>
    </row>
    <row r="23" spans="1:35">
      <c r="A23">
        <v>16681</v>
      </c>
      <c r="B23" t="s">
        <v>287</v>
      </c>
      <c r="C23">
        <v>4175</v>
      </c>
      <c r="D23" t="s">
        <v>195</v>
      </c>
      <c r="E23">
        <v>3874</v>
      </c>
      <c r="F23" t="s">
        <v>211</v>
      </c>
      <c r="G23" s="1">
        <v>46074</v>
      </c>
      <c r="H23" t="s">
        <v>64</v>
      </c>
      <c r="I23" t="s">
        <v>45</v>
      </c>
      <c r="J23" t="s">
        <v>132</v>
      </c>
      <c r="K23" t="s">
        <v>133</v>
      </c>
      <c r="L23">
        <v>5386</v>
      </c>
      <c r="M23">
        <v>0</v>
      </c>
      <c r="N23">
        <v>0</v>
      </c>
      <c r="O23">
        <v>0</v>
      </c>
      <c r="P23" t="s">
        <v>99</v>
      </c>
      <c r="Q23" t="s">
        <v>224</v>
      </c>
      <c r="R23" t="s">
        <v>36</v>
      </c>
      <c r="S23" t="s">
        <v>134</v>
      </c>
      <c r="T23" s="2">
        <v>46074.575196759259</v>
      </c>
      <c r="U23" s="2">
        <v>46074.579907407409</v>
      </c>
      <c r="V23" s="3">
        <v>4.7106481481481478E-3</v>
      </c>
      <c r="W23" t="s">
        <v>49</v>
      </c>
      <c r="X23">
        <v>1</v>
      </c>
      <c r="Y23">
        <v>3</v>
      </c>
      <c r="Z23" s="3">
        <v>1.3888888888888888E-2</v>
      </c>
      <c r="AA23">
        <v>0.33</v>
      </c>
      <c r="AB23" t="s">
        <v>48</v>
      </c>
      <c r="AC23" s="3">
        <v>0.39886574074074077</v>
      </c>
      <c r="AD23" t="s">
        <v>64</v>
      </c>
      <c r="AE23" t="s">
        <v>38</v>
      </c>
      <c r="AF23" t="s">
        <v>46</v>
      </c>
      <c r="AG23" t="s">
        <v>47</v>
      </c>
      <c r="AH23" t="s">
        <v>35</v>
      </c>
      <c r="AI23" t="s">
        <v>41</v>
      </c>
    </row>
    <row r="24" spans="1:35">
      <c r="A24">
        <v>16681</v>
      </c>
      <c r="B24" t="s">
        <v>287</v>
      </c>
      <c r="C24">
        <v>4175</v>
      </c>
      <c r="D24" t="s">
        <v>195</v>
      </c>
      <c r="E24">
        <v>3874</v>
      </c>
      <c r="F24" t="s">
        <v>211</v>
      </c>
      <c r="G24" s="1">
        <v>46074</v>
      </c>
      <c r="H24" t="s">
        <v>64</v>
      </c>
      <c r="I24" t="s">
        <v>45</v>
      </c>
      <c r="J24" t="s">
        <v>59</v>
      </c>
      <c r="K24" t="s">
        <v>72</v>
      </c>
      <c r="L24">
        <v>0</v>
      </c>
      <c r="M24">
        <v>29</v>
      </c>
      <c r="O24" t="s">
        <v>79</v>
      </c>
      <c r="P24" t="s">
        <v>100</v>
      </c>
      <c r="Q24" t="s">
        <v>101</v>
      </c>
      <c r="R24" t="s">
        <v>36</v>
      </c>
      <c r="S24" t="s">
        <v>73</v>
      </c>
      <c r="T24" s="2">
        <v>46074.660486111112</v>
      </c>
      <c r="U24" s="2">
        <v>46074.719027777777</v>
      </c>
      <c r="V24" s="3">
        <v>5.8541666666666665E-2</v>
      </c>
      <c r="W24" t="s">
        <v>42</v>
      </c>
      <c r="X24">
        <v>872</v>
      </c>
      <c r="Y24">
        <v>300</v>
      </c>
      <c r="Z24" s="3">
        <v>0.12111111111111111</v>
      </c>
      <c r="AA24">
        <v>2.91</v>
      </c>
      <c r="AB24" t="s">
        <v>48</v>
      </c>
      <c r="AC24" s="3">
        <v>0.39886574074074077</v>
      </c>
      <c r="AD24" t="s">
        <v>64</v>
      </c>
      <c r="AE24" t="s">
        <v>38</v>
      </c>
      <c r="AF24" t="s">
        <v>46</v>
      </c>
      <c r="AG24" t="s">
        <v>47</v>
      </c>
      <c r="AH24" t="s">
        <v>35</v>
      </c>
      <c r="AI24" t="s">
        <v>41</v>
      </c>
    </row>
    <row r="25" spans="1:35">
      <c r="A25">
        <v>16681</v>
      </c>
      <c r="B25" t="s">
        <v>287</v>
      </c>
      <c r="C25">
        <v>4175</v>
      </c>
      <c r="D25" t="s">
        <v>195</v>
      </c>
      <c r="E25">
        <v>3874</v>
      </c>
      <c r="F25" t="s">
        <v>211</v>
      </c>
      <c r="G25" s="1">
        <v>46074</v>
      </c>
      <c r="H25" t="s">
        <v>64</v>
      </c>
      <c r="I25" t="s">
        <v>45</v>
      </c>
      <c r="J25" t="s">
        <v>102</v>
      </c>
      <c r="K25" t="s">
        <v>150</v>
      </c>
      <c r="L25">
        <v>107396</v>
      </c>
      <c r="M25">
        <v>0</v>
      </c>
      <c r="N25">
        <v>0</v>
      </c>
      <c r="O25">
        <v>0</v>
      </c>
      <c r="P25" t="s">
        <v>99</v>
      </c>
      <c r="Q25" t="s">
        <v>223</v>
      </c>
      <c r="R25" t="s">
        <v>36</v>
      </c>
      <c r="S25" t="s">
        <v>151</v>
      </c>
      <c r="T25" s="2">
        <v>46074.600023148145</v>
      </c>
      <c r="U25" s="2">
        <v>46074.618761574071</v>
      </c>
      <c r="V25" s="3">
        <v>1.8738425925925926E-2</v>
      </c>
      <c r="W25" t="s">
        <v>49</v>
      </c>
      <c r="X25">
        <v>1</v>
      </c>
      <c r="Y25">
        <v>4</v>
      </c>
      <c r="Z25" s="3">
        <v>1.0416666666666666E-2</v>
      </c>
      <c r="AA25">
        <v>0.25</v>
      </c>
      <c r="AB25" t="s">
        <v>48</v>
      </c>
      <c r="AC25" s="3">
        <v>0.39886574074074077</v>
      </c>
      <c r="AD25" t="s">
        <v>64</v>
      </c>
      <c r="AE25" t="s">
        <v>38</v>
      </c>
      <c r="AF25" t="s">
        <v>46</v>
      </c>
      <c r="AG25" t="s">
        <v>47</v>
      </c>
      <c r="AH25" t="s">
        <v>35</v>
      </c>
      <c r="AI25" t="s">
        <v>41</v>
      </c>
    </row>
    <row r="26" spans="1:35">
      <c r="A26">
        <v>16681</v>
      </c>
      <c r="B26" t="s">
        <v>287</v>
      </c>
      <c r="C26">
        <v>4175</v>
      </c>
      <c r="D26" t="s">
        <v>195</v>
      </c>
      <c r="E26">
        <v>3874</v>
      </c>
      <c r="F26" t="s">
        <v>211</v>
      </c>
      <c r="G26" s="1">
        <v>46074</v>
      </c>
      <c r="H26" t="s">
        <v>64</v>
      </c>
      <c r="I26" t="s">
        <v>45</v>
      </c>
      <c r="J26" t="s">
        <v>90</v>
      </c>
      <c r="K26" t="s">
        <v>152</v>
      </c>
      <c r="L26">
        <v>67342</v>
      </c>
      <c r="M26">
        <v>0</v>
      </c>
      <c r="N26">
        <v>0</v>
      </c>
      <c r="O26">
        <v>0</v>
      </c>
      <c r="P26" t="s">
        <v>99</v>
      </c>
      <c r="Q26" t="s">
        <v>224</v>
      </c>
      <c r="R26" t="s">
        <v>36</v>
      </c>
      <c r="S26" t="s">
        <v>153</v>
      </c>
      <c r="T26" s="2">
        <v>46074.644236111111</v>
      </c>
      <c r="U26" s="2">
        <v>46074.648518518516</v>
      </c>
      <c r="V26" s="3">
        <v>4.2824074074074075E-3</v>
      </c>
      <c r="W26" t="s">
        <v>49</v>
      </c>
      <c r="X26">
        <v>1</v>
      </c>
      <c r="Y26">
        <v>4</v>
      </c>
      <c r="Z26" s="3">
        <v>1.0416666666666666E-2</v>
      </c>
      <c r="AA26">
        <v>0.25</v>
      </c>
      <c r="AB26" t="s">
        <v>48</v>
      </c>
      <c r="AC26" s="3">
        <v>0.39886574074074077</v>
      </c>
      <c r="AD26" t="s">
        <v>64</v>
      </c>
      <c r="AE26" t="s">
        <v>38</v>
      </c>
      <c r="AF26" t="s">
        <v>46</v>
      </c>
      <c r="AG26" t="s">
        <v>47</v>
      </c>
      <c r="AH26" t="s">
        <v>35</v>
      </c>
      <c r="AI26" t="s">
        <v>41</v>
      </c>
    </row>
    <row r="27" spans="1:35">
      <c r="A27">
        <v>16681</v>
      </c>
      <c r="B27" t="s">
        <v>287</v>
      </c>
      <c r="C27">
        <v>4175</v>
      </c>
      <c r="D27" t="s">
        <v>195</v>
      </c>
      <c r="E27">
        <v>3874</v>
      </c>
      <c r="F27" t="s">
        <v>211</v>
      </c>
      <c r="G27" s="1">
        <v>46074</v>
      </c>
      <c r="H27" t="s">
        <v>64</v>
      </c>
      <c r="I27" t="s">
        <v>45</v>
      </c>
      <c r="J27" t="s">
        <v>90</v>
      </c>
      <c r="K27" t="s">
        <v>152</v>
      </c>
      <c r="L27">
        <v>67341</v>
      </c>
      <c r="M27">
        <v>0</v>
      </c>
      <c r="N27">
        <v>0</v>
      </c>
      <c r="O27">
        <v>0</v>
      </c>
      <c r="P27" t="s">
        <v>99</v>
      </c>
      <c r="Q27" t="s">
        <v>224</v>
      </c>
      <c r="R27" t="s">
        <v>36</v>
      </c>
      <c r="S27" t="s">
        <v>153</v>
      </c>
      <c r="T27" s="2">
        <v>46074.640381944446</v>
      </c>
      <c r="U27" s="2">
        <v>46074.644189814811</v>
      </c>
      <c r="V27" s="3">
        <v>3.8078703703703707E-3</v>
      </c>
      <c r="W27" t="s">
        <v>49</v>
      </c>
      <c r="X27">
        <v>1</v>
      </c>
      <c r="Y27">
        <v>4</v>
      </c>
      <c r="Z27" s="3">
        <v>1.0416666666666666E-2</v>
      </c>
      <c r="AA27">
        <v>0.25</v>
      </c>
      <c r="AB27" t="s">
        <v>48</v>
      </c>
      <c r="AC27" s="3">
        <v>0.39886574074074077</v>
      </c>
      <c r="AD27" t="s">
        <v>64</v>
      </c>
      <c r="AE27" t="s">
        <v>38</v>
      </c>
      <c r="AF27" t="s">
        <v>46</v>
      </c>
      <c r="AG27" t="s">
        <v>47</v>
      </c>
      <c r="AH27" t="s">
        <v>35</v>
      </c>
      <c r="AI27" t="s">
        <v>41</v>
      </c>
    </row>
    <row r="28" spans="1:35">
      <c r="A28">
        <v>16681</v>
      </c>
      <c r="B28" t="s">
        <v>287</v>
      </c>
      <c r="C28">
        <v>4175</v>
      </c>
      <c r="D28" t="s">
        <v>195</v>
      </c>
      <c r="E28">
        <v>3874</v>
      </c>
      <c r="F28" t="s">
        <v>211</v>
      </c>
      <c r="G28" s="1">
        <v>46074</v>
      </c>
      <c r="H28" t="s">
        <v>64</v>
      </c>
      <c r="I28" t="s">
        <v>45</v>
      </c>
      <c r="J28" t="s">
        <v>158</v>
      </c>
      <c r="K28" t="s">
        <v>159</v>
      </c>
      <c r="L28">
        <v>0</v>
      </c>
      <c r="M28">
        <v>11</v>
      </c>
      <c r="N28">
        <v>2</v>
      </c>
      <c r="P28" t="s">
        <v>100</v>
      </c>
      <c r="Q28" t="s">
        <v>101</v>
      </c>
      <c r="R28" t="s">
        <v>36</v>
      </c>
      <c r="S28" t="s">
        <v>160</v>
      </c>
      <c r="T28" s="2">
        <v>46074.773414351854</v>
      </c>
      <c r="U28" s="2">
        <v>46074.811238425929</v>
      </c>
      <c r="V28" s="3">
        <v>3.7824074074074072E-2</v>
      </c>
      <c r="W28" t="s">
        <v>42</v>
      </c>
      <c r="X28">
        <v>332</v>
      </c>
      <c r="Y28">
        <v>300</v>
      </c>
      <c r="Z28" s="3">
        <v>4.611111111111111E-2</v>
      </c>
      <c r="AA28">
        <v>1.1100000000000001</v>
      </c>
      <c r="AB28" t="s">
        <v>48</v>
      </c>
      <c r="AC28" s="3">
        <v>0.39886574074074077</v>
      </c>
      <c r="AD28" t="s">
        <v>64</v>
      </c>
      <c r="AE28" t="s">
        <v>38</v>
      </c>
      <c r="AF28" t="s">
        <v>46</v>
      </c>
      <c r="AG28" t="s">
        <v>47</v>
      </c>
      <c r="AH28" t="s">
        <v>35</v>
      </c>
      <c r="AI28" t="s">
        <v>41</v>
      </c>
    </row>
    <row r="29" spans="1:35">
      <c r="A29">
        <v>16681</v>
      </c>
      <c r="B29" t="s">
        <v>287</v>
      </c>
      <c r="C29">
        <v>4175</v>
      </c>
      <c r="D29" t="s">
        <v>195</v>
      </c>
      <c r="E29">
        <v>3874</v>
      </c>
      <c r="F29" t="s">
        <v>211</v>
      </c>
      <c r="G29" s="1">
        <v>46074</v>
      </c>
      <c r="H29" t="s">
        <v>64</v>
      </c>
      <c r="I29" t="s">
        <v>45</v>
      </c>
      <c r="J29" t="s">
        <v>132</v>
      </c>
      <c r="K29" t="s">
        <v>225</v>
      </c>
      <c r="L29">
        <v>106382</v>
      </c>
      <c r="M29">
        <v>0</v>
      </c>
      <c r="N29">
        <v>0</v>
      </c>
      <c r="O29">
        <v>0</v>
      </c>
      <c r="P29" t="s">
        <v>99</v>
      </c>
      <c r="Q29" t="s">
        <v>228</v>
      </c>
      <c r="R29" t="s">
        <v>36</v>
      </c>
      <c r="S29" t="s">
        <v>226</v>
      </c>
      <c r="T29" s="2">
        <v>46074.649131944447</v>
      </c>
      <c r="U29" s="2">
        <v>46074.650729166664</v>
      </c>
      <c r="V29" s="3">
        <v>1.5972222222222221E-3</v>
      </c>
      <c r="W29" t="s">
        <v>49</v>
      </c>
      <c r="X29">
        <v>1</v>
      </c>
      <c r="Y29">
        <v>7</v>
      </c>
      <c r="Z29" s="3">
        <v>5.9490740740740745E-3</v>
      </c>
      <c r="AA29">
        <v>0.14000000000000001</v>
      </c>
      <c r="AB29" t="s">
        <v>48</v>
      </c>
      <c r="AC29" s="3">
        <v>0.39886574074074077</v>
      </c>
      <c r="AD29" t="s">
        <v>64</v>
      </c>
      <c r="AE29" t="s">
        <v>38</v>
      </c>
      <c r="AF29" t="s">
        <v>46</v>
      </c>
      <c r="AG29" t="s">
        <v>47</v>
      </c>
      <c r="AH29" t="s">
        <v>35</v>
      </c>
      <c r="AI29" t="s">
        <v>41</v>
      </c>
    </row>
    <row r="30" spans="1:35">
      <c r="A30">
        <v>16681</v>
      </c>
      <c r="B30" t="s">
        <v>287</v>
      </c>
      <c r="C30">
        <v>4175</v>
      </c>
      <c r="D30" t="s">
        <v>195</v>
      </c>
      <c r="E30">
        <v>3874</v>
      </c>
      <c r="F30" t="s">
        <v>211</v>
      </c>
      <c r="G30" s="1">
        <v>46074</v>
      </c>
      <c r="H30" t="s">
        <v>64</v>
      </c>
      <c r="I30" t="s">
        <v>45</v>
      </c>
      <c r="J30" t="s">
        <v>90</v>
      </c>
      <c r="K30" t="s">
        <v>152</v>
      </c>
      <c r="L30">
        <v>67340</v>
      </c>
      <c r="M30">
        <v>0</v>
      </c>
      <c r="N30">
        <v>0</v>
      </c>
      <c r="O30">
        <v>0</v>
      </c>
      <c r="P30" t="s">
        <v>99</v>
      </c>
      <c r="Q30" t="s">
        <v>224</v>
      </c>
      <c r="R30" t="s">
        <v>36</v>
      </c>
      <c r="S30" t="s">
        <v>153</v>
      </c>
      <c r="T30" s="2">
        <v>46074.638171296298</v>
      </c>
      <c r="U30" s="2">
        <v>46074.640347222223</v>
      </c>
      <c r="V30" s="3">
        <v>2.1759259259259258E-3</v>
      </c>
      <c r="W30" t="s">
        <v>49</v>
      </c>
      <c r="X30">
        <v>1</v>
      </c>
      <c r="Y30">
        <v>4</v>
      </c>
      <c r="Z30" s="3">
        <v>1.0416666666666666E-2</v>
      </c>
      <c r="AA30">
        <v>0.25</v>
      </c>
      <c r="AB30" t="s">
        <v>48</v>
      </c>
      <c r="AC30" s="3">
        <v>0.39886574074074077</v>
      </c>
      <c r="AD30" t="s">
        <v>64</v>
      </c>
      <c r="AE30" t="s">
        <v>38</v>
      </c>
      <c r="AF30" t="s">
        <v>46</v>
      </c>
      <c r="AG30" t="s">
        <v>47</v>
      </c>
      <c r="AH30" t="s">
        <v>35</v>
      </c>
      <c r="AI30" t="s">
        <v>41</v>
      </c>
    </row>
    <row r="31" spans="1:35">
      <c r="A31">
        <v>16681</v>
      </c>
      <c r="B31" t="s">
        <v>287</v>
      </c>
      <c r="C31">
        <v>4175</v>
      </c>
      <c r="D31" t="s">
        <v>195</v>
      </c>
      <c r="E31">
        <v>3874</v>
      </c>
      <c r="F31" t="s">
        <v>211</v>
      </c>
      <c r="G31" s="1">
        <v>46074</v>
      </c>
      <c r="H31" t="s">
        <v>64</v>
      </c>
      <c r="I31" t="s">
        <v>45</v>
      </c>
      <c r="J31" t="s">
        <v>102</v>
      </c>
      <c r="K31" t="s">
        <v>150</v>
      </c>
      <c r="L31">
        <v>107399</v>
      </c>
      <c r="M31">
        <v>0</v>
      </c>
      <c r="N31">
        <v>0</v>
      </c>
      <c r="O31">
        <v>0</v>
      </c>
      <c r="P31" t="s">
        <v>99</v>
      </c>
      <c r="Q31" t="s">
        <v>223</v>
      </c>
      <c r="R31" t="s">
        <v>36</v>
      </c>
      <c r="S31" t="s">
        <v>151</v>
      </c>
      <c r="T31" s="2">
        <v>46074.586388888885</v>
      </c>
      <c r="U31" s="2">
        <v>46074.5934375</v>
      </c>
      <c r="V31" s="3">
        <v>7.0486111111111105E-3</v>
      </c>
      <c r="W31" t="s">
        <v>49</v>
      </c>
      <c r="X31">
        <v>1</v>
      </c>
      <c r="Y31">
        <v>4</v>
      </c>
      <c r="Z31" s="3">
        <v>1.0416666666666666E-2</v>
      </c>
      <c r="AA31">
        <v>0.25</v>
      </c>
      <c r="AB31" t="s">
        <v>48</v>
      </c>
      <c r="AC31" s="3">
        <v>0.39886574074074077</v>
      </c>
      <c r="AD31" t="s">
        <v>64</v>
      </c>
      <c r="AE31" t="s">
        <v>38</v>
      </c>
      <c r="AF31" t="s">
        <v>46</v>
      </c>
      <c r="AG31" t="s">
        <v>47</v>
      </c>
      <c r="AH31" t="s">
        <v>35</v>
      </c>
      <c r="AI31" t="s">
        <v>41</v>
      </c>
    </row>
    <row r="32" spans="1:35">
      <c r="A32">
        <v>16681</v>
      </c>
      <c r="B32" t="s">
        <v>287</v>
      </c>
      <c r="C32">
        <v>4175</v>
      </c>
      <c r="D32" t="s">
        <v>195</v>
      </c>
      <c r="E32">
        <v>3874</v>
      </c>
      <c r="F32" t="s">
        <v>211</v>
      </c>
      <c r="G32" s="1">
        <v>46074</v>
      </c>
      <c r="H32" t="s">
        <v>64</v>
      </c>
      <c r="I32" t="s">
        <v>45</v>
      </c>
      <c r="J32" t="s">
        <v>132</v>
      </c>
      <c r="K32" t="s">
        <v>133</v>
      </c>
      <c r="L32">
        <v>5387</v>
      </c>
      <c r="M32">
        <v>0</v>
      </c>
      <c r="N32">
        <v>0</v>
      </c>
      <c r="O32">
        <v>0</v>
      </c>
      <c r="P32" t="s">
        <v>99</v>
      </c>
      <c r="Q32" t="s">
        <v>229</v>
      </c>
      <c r="R32" t="s">
        <v>36</v>
      </c>
      <c r="S32" t="s">
        <v>134</v>
      </c>
      <c r="T32" s="2">
        <v>46074.648668981485</v>
      </c>
      <c r="U32" s="2">
        <v>46074.648784722223</v>
      </c>
      <c r="V32" s="3">
        <v>1.1574074074074073E-4</v>
      </c>
      <c r="W32" t="s">
        <v>49</v>
      </c>
      <c r="X32">
        <v>1</v>
      </c>
      <c r="Y32">
        <v>15</v>
      </c>
      <c r="Z32" s="3">
        <v>2.7777777777777779E-3</v>
      </c>
      <c r="AA32">
        <v>7.0000000000000007E-2</v>
      </c>
      <c r="AB32" t="s">
        <v>48</v>
      </c>
      <c r="AC32" s="3">
        <v>0.39886574074074077</v>
      </c>
      <c r="AD32" t="s">
        <v>64</v>
      </c>
      <c r="AE32" t="s">
        <v>38</v>
      </c>
      <c r="AF32" t="s">
        <v>46</v>
      </c>
      <c r="AG32" t="s">
        <v>47</v>
      </c>
      <c r="AH32" t="s">
        <v>35</v>
      </c>
      <c r="AI32" t="s">
        <v>41</v>
      </c>
    </row>
    <row r="33" spans="1:35">
      <c r="A33">
        <v>16681</v>
      </c>
      <c r="B33" t="s">
        <v>287</v>
      </c>
      <c r="C33">
        <v>4175</v>
      </c>
      <c r="D33" t="s">
        <v>195</v>
      </c>
      <c r="E33">
        <v>3874</v>
      </c>
      <c r="F33" t="s">
        <v>211</v>
      </c>
      <c r="G33" s="1">
        <v>46074</v>
      </c>
      <c r="H33" t="s">
        <v>64</v>
      </c>
      <c r="I33" t="s">
        <v>45</v>
      </c>
      <c r="J33" t="s">
        <v>82</v>
      </c>
      <c r="K33" t="s">
        <v>219</v>
      </c>
      <c r="L33">
        <v>865</v>
      </c>
      <c r="M33">
        <v>0</v>
      </c>
      <c r="N33">
        <v>0</v>
      </c>
      <c r="O33">
        <v>0</v>
      </c>
      <c r="P33" t="s">
        <v>99</v>
      </c>
      <c r="Q33" t="s">
        <v>223</v>
      </c>
      <c r="R33" t="s">
        <v>36</v>
      </c>
      <c r="S33" t="s">
        <v>87</v>
      </c>
      <c r="T33" s="2">
        <v>46074.556180555555</v>
      </c>
      <c r="U33" s="2">
        <v>46074.559861111113</v>
      </c>
      <c r="V33" s="3">
        <v>3.6805555555555554E-3</v>
      </c>
      <c r="W33" t="s">
        <v>49</v>
      </c>
      <c r="X33">
        <v>1</v>
      </c>
      <c r="Y33">
        <v>3</v>
      </c>
      <c r="Z33" s="3">
        <v>1.3888888888888888E-2</v>
      </c>
      <c r="AA33">
        <v>0.33</v>
      </c>
      <c r="AB33" t="s">
        <v>48</v>
      </c>
      <c r="AC33" s="3">
        <v>0.39886574074074077</v>
      </c>
      <c r="AD33" t="s">
        <v>64</v>
      </c>
      <c r="AE33" t="s">
        <v>38</v>
      </c>
      <c r="AF33" t="s">
        <v>46</v>
      </c>
      <c r="AG33" t="s">
        <v>47</v>
      </c>
      <c r="AH33" t="s">
        <v>35</v>
      </c>
      <c r="AI33" t="s">
        <v>41</v>
      </c>
    </row>
    <row r="34" spans="1:35">
      <c r="A34">
        <v>16681</v>
      </c>
      <c r="B34" t="s">
        <v>287</v>
      </c>
      <c r="C34">
        <v>4175</v>
      </c>
      <c r="D34" t="s">
        <v>195</v>
      </c>
      <c r="E34">
        <v>3874</v>
      </c>
      <c r="F34" t="s">
        <v>211</v>
      </c>
      <c r="G34" s="1">
        <v>46074</v>
      </c>
      <c r="H34" t="s">
        <v>64</v>
      </c>
      <c r="I34" t="s">
        <v>45</v>
      </c>
      <c r="J34" t="s">
        <v>90</v>
      </c>
      <c r="K34" t="s">
        <v>152</v>
      </c>
      <c r="L34">
        <v>67333</v>
      </c>
      <c r="M34">
        <v>0</v>
      </c>
      <c r="N34">
        <v>0</v>
      </c>
      <c r="O34">
        <v>0</v>
      </c>
      <c r="P34" t="s">
        <v>99</v>
      </c>
      <c r="Q34" t="s">
        <v>224</v>
      </c>
      <c r="R34" t="s">
        <v>36</v>
      </c>
      <c r="S34" t="s">
        <v>153</v>
      </c>
      <c r="T34" s="2">
        <v>46074.656944444447</v>
      </c>
      <c r="U34" s="2">
        <v>46074.66034722222</v>
      </c>
      <c r="V34" s="3">
        <v>3.4027777777777784E-3</v>
      </c>
      <c r="W34" t="s">
        <v>49</v>
      </c>
      <c r="X34">
        <v>1</v>
      </c>
      <c r="Y34">
        <v>4</v>
      </c>
      <c r="Z34" s="3">
        <v>1.0416666666666666E-2</v>
      </c>
      <c r="AA34">
        <v>0.25</v>
      </c>
      <c r="AB34" t="s">
        <v>48</v>
      </c>
      <c r="AC34" s="3">
        <v>0.39886574074074077</v>
      </c>
      <c r="AD34" t="s">
        <v>64</v>
      </c>
      <c r="AE34" t="s">
        <v>38</v>
      </c>
      <c r="AF34" t="s">
        <v>46</v>
      </c>
      <c r="AG34" t="s">
        <v>47</v>
      </c>
      <c r="AH34" t="s">
        <v>35</v>
      </c>
      <c r="AI34" t="s">
        <v>41</v>
      </c>
    </row>
    <row r="35" spans="1:35">
      <c r="A35">
        <v>16681</v>
      </c>
      <c r="B35" t="s">
        <v>287</v>
      </c>
      <c r="C35">
        <v>4175</v>
      </c>
      <c r="D35" t="s">
        <v>195</v>
      </c>
      <c r="E35">
        <v>3874</v>
      </c>
      <c r="F35" t="s">
        <v>211</v>
      </c>
      <c r="G35" s="1">
        <v>46074</v>
      </c>
      <c r="H35" t="s">
        <v>64</v>
      </c>
      <c r="I35" t="s">
        <v>45</v>
      </c>
      <c r="J35" t="s">
        <v>90</v>
      </c>
      <c r="K35" t="s">
        <v>145</v>
      </c>
      <c r="L35">
        <v>10294</v>
      </c>
      <c r="M35">
        <v>0</v>
      </c>
      <c r="N35">
        <v>0</v>
      </c>
      <c r="O35">
        <v>0</v>
      </c>
      <c r="P35" t="s">
        <v>99</v>
      </c>
      <c r="Q35" t="s">
        <v>224</v>
      </c>
      <c r="R35" t="s">
        <v>36</v>
      </c>
      <c r="S35" t="s">
        <v>113</v>
      </c>
      <c r="T35" s="2">
        <v>46074.651446759257</v>
      </c>
      <c r="U35" s="2">
        <v>46074.654641203706</v>
      </c>
      <c r="V35" s="3">
        <v>3.1944444444444442E-3</v>
      </c>
      <c r="W35" t="s">
        <v>49</v>
      </c>
      <c r="X35">
        <v>1</v>
      </c>
      <c r="Y35">
        <v>4</v>
      </c>
      <c r="Z35" s="3">
        <v>1.0416666666666666E-2</v>
      </c>
      <c r="AA35">
        <v>0.25</v>
      </c>
      <c r="AB35" t="s">
        <v>48</v>
      </c>
      <c r="AC35" s="3">
        <v>0.39886574074074077</v>
      </c>
      <c r="AD35" t="s">
        <v>64</v>
      </c>
      <c r="AE35" t="s">
        <v>38</v>
      </c>
      <c r="AF35" t="s">
        <v>46</v>
      </c>
      <c r="AG35" t="s">
        <v>47</v>
      </c>
      <c r="AH35" t="s">
        <v>35</v>
      </c>
      <c r="AI35" t="s">
        <v>41</v>
      </c>
    </row>
    <row r="36" spans="1:35">
      <c r="A36">
        <v>16681</v>
      </c>
      <c r="B36" t="s">
        <v>287</v>
      </c>
      <c r="C36">
        <v>4175</v>
      </c>
      <c r="D36" t="s">
        <v>195</v>
      </c>
      <c r="E36">
        <v>3874</v>
      </c>
      <c r="F36" t="s">
        <v>211</v>
      </c>
      <c r="G36" s="1">
        <v>46074</v>
      </c>
      <c r="H36" t="s">
        <v>64</v>
      </c>
      <c r="I36" t="s">
        <v>45</v>
      </c>
      <c r="J36" t="s">
        <v>105</v>
      </c>
      <c r="K36" t="s">
        <v>106</v>
      </c>
      <c r="L36">
        <v>11770</v>
      </c>
      <c r="M36">
        <v>0</v>
      </c>
      <c r="N36">
        <v>0</v>
      </c>
      <c r="O36">
        <v>0</v>
      </c>
      <c r="P36" t="s">
        <v>99</v>
      </c>
      <c r="Q36" t="s">
        <v>224</v>
      </c>
      <c r="R36" t="s">
        <v>36</v>
      </c>
      <c r="S36" t="s">
        <v>107</v>
      </c>
      <c r="T36" s="2">
        <v>46074.543634259258</v>
      </c>
      <c r="U36" s="2">
        <v>46074.556076388886</v>
      </c>
      <c r="V36" s="3">
        <v>1.2442129629629629E-2</v>
      </c>
      <c r="W36" t="s">
        <v>49</v>
      </c>
      <c r="X36">
        <v>1</v>
      </c>
      <c r="Y36">
        <v>4</v>
      </c>
      <c r="Z36" s="3">
        <v>1.0416666666666666E-2</v>
      </c>
      <c r="AA36">
        <v>0.25</v>
      </c>
      <c r="AB36" t="s">
        <v>48</v>
      </c>
      <c r="AC36" s="3">
        <v>0.39886574074074077</v>
      </c>
      <c r="AD36" t="s">
        <v>64</v>
      </c>
      <c r="AE36" t="s">
        <v>38</v>
      </c>
      <c r="AF36" t="s">
        <v>46</v>
      </c>
      <c r="AG36" t="s">
        <v>47</v>
      </c>
      <c r="AH36" t="s">
        <v>35</v>
      </c>
      <c r="AI36" t="s">
        <v>41</v>
      </c>
    </row>
    <row r="37" spans="1:35">
      <c r="A37">
        <v>16681</v>
      </c>
      <c r="B37" t="s">
        <v>287</v>
      </c>
      <c r="C37">
        <v>4175</v>
      </c>
      <c r="D37" t="s">
        <v>195</v>
      </c>
      <c r="E37">
        <v>3874</v>
      </c>
      <c r="F37" t="s">
        <v>211</v>
      </c>
      <c r="G37" s="1">
        <v>46074</v>
      </c>
      <c r="H37" t="s">
        <v>64</v>
      </c>
      <c r="I37" t="s">
        <v>45</v>
      </c>
      <c r="J37" t="s">
        <v>90</v>
      </c>
      <c r="K37" t="s">
        <v>192</v>
      </c>
      <c r="L37">
        <v>0</v>
      </c>
      <c r="M37">
        <v>157</v>
      </c>
      <c r="N37">
        <v>3</v>
      </c>
      <c r="P37" t="s">
        <v>100</v>
      </c>
      <c r="Q37" t="s">
        <v>101</v>
      </c>
      <c r="R37" t="s">
        <v>36</v>
      </c>
      <c r="S37" t="s">
        <v>193</v>
      </c>
      <c r="T37" s="2">
        <v>46074.719085648147</v>
      </c>
      <c r="U37" s="2">
        <v>46074.771701388891</v>
      </c>
      <c r="V37" s="3">
        <v>5.2615740740740741E-2</v>
      </c>
      <c r="W37" t="s">
        <v>42</v>
      </c>
      <c r="X37">
        <v>130</v>
      </c>
      <c r="Y37">
        <v>300</v>
      </c>
      <c r="Z37" s="3">
        <v>1.8055555555555557E-2</v>
      </c>
      <c r="AA37">
        <v>0.43</v>
      </c>
      <c r="AB37" t="s">
        <v>48</v>
      </c>
      <c r="AC37" s="3">
        <v>0.39886574074074077</v>
      </c>
      <c r="AD37" t="s">
        <v>64</v>
      </c>
      <c r="AE37" t="s">
        <v>38</v>
      </c>
      <c r="AF37" t="s">
        <v>46</v>
      </c>
      <c r="AG37" t="s">
        <v>47</v>
      </c>
      <c r="AH37" t="s">
        <v>35</v>
      </c>
      <c r="AI37" t="s">
        <v>41</v>
      </c>
    </row>
    <row r="38" spans="1:35">
      <c r="A38">
        <v>20535</v>
      </c>
      <c r="B38" t="s">
        <v>242</v>
      </c>
      <c r="C38">
        <v>7634</v>
      </c>
      <c r="D38" t="s">
        <v>210</v>
      </c>
      <c r="E38">
        <v>3874</v>
      </c>
      <c r="F38" t="s">
        <v>211</v>
      </c>
      <c r="G38" s="1">
        <v>46074</v>
      </c>
      <c r="H38" t="s">
        <v>64</v>
      </c>
      <c r="I38" t="s">
        <v>45</v>
      </c>
      <c r="J38" t="s">
        <v>76</v>
      </c>
      <c r="K38" t="s">
        <v>77</v>
      </c>
      <c r="L38">
        <v>4566</v>
      </c>
      <c r="M38">
        <v>0</v>
      </c>
      <c r="N38">
        <v>0</v>
      </c>
      <c r="O38">
        <v>0</v>
      </c>
      <c r="P38" t="s">
        <v>52</v>
      </c>
      <c r="Q38" t="s">
        <v>140</v>
      </c>
      <c r="R38" t="s">
        <v>36</v>
      </c>
      <c r="S38" t="s">
        <v>78</v>
      </c>
      <c r="T38" s="2">
        <v>46074.72855324074</v>
      </c>
      <c r="U38" s="2">
        <v>46074.749293981484</v>
      </c>
      <c r="V38" s="3">
        <v>2.074074074074074E-2</v>
      </c>
      <c r="W38" t="s">
        <v>60</v>
      </c>
      <c r="X38">
        <v>31</v>
      </c>
      <c r="Y38">
        <v>37</v>
      </c>
      <c r="Z38" s="3">
        <v>3.4907407407407408E-2</v>
      </c>
      <c r="AA38">
        <v>0.84</v>
      </c>
      <c r="AB38" t="s">
        <v>48</v>
      </c>
      <c r="AC38" s="3">
        <v>0.27837962962962964</v>
      </c>
      <c r="AD38" t="s">
        <v>64</v>
      </c>
      <c r="AE38" t="s">
        <v>38</v>
      </c>
      <c r="AF38" t="s">
        <v>46</v>
      </c>
      <c r="AG38" t="s">
        <v>47</v>
      </c>
      <c r="AH38" s="3">
        <v>2.6747685185185183E-2</v>
      </c>
      <c r="AI38" t="s">
        <v>41</v>
      </c>
    </row>
    <row r="39" spans="1:35">
      <c r="A39">
        <v>20535</v>
      </c>
      <c r="B39" t="s">
        <v>242</v>
      </c>
      <c r="C39">
        <v>7634</v>
      </c>
      <c r="D39" t="s">
        <v>210</v>
      </c>
      <c r="E39">
        <v>3874</v>
      </c>
      <c r="F39" t="s">
        <v>211</v>
      </c>
      <c r="G39" s="1">
        <v>46074</v>
      </c>
      <c r="H39" t="s">
        <v>64</v>
      </c>
      <c r="I39" t="s">
        <v>45</v>
      </c>
      <c r="J39" t="s">
        <v>59</v>
      </c>
      <c r="K39" t="s">
        <v>68</v>
      </c>
      <c r="L39">
        <v>20909</v>
      </c>
      <c r="M39">
        <v>0</v>
      </c>
      <c r="N39">
        <v>0</v>
      </c>
      <c r="O39">
        <v>0</v>
      </c>
      <c r="P39" t="s">
        <v>52</v>
      </c>
      <c r="Q39" t="s">
        <v>140</v>
      </c>
      <c r="R39" t="s">
        <v>36</v>
      </c>
      <c r="S39" t="s">
        <v>69</v>
      </c>
      <c r="T39" s="2">
        <v>46074.638958333337</v>
      </c>
      <c r="U39" s="2">
        <v>46074.647476851853</v>
      </c>
      <c r="V39" s="3">
        <v>8.518518518518519E-3</v>
      </c>
      <c r="W39" t="s">
        <v>60</v>
      </c>
      <c r="X39">
        <v>2</v>
      </c>
      <c r="Y39">
        <v>37</v>
      </c>
      <c r="Z39" s="3">
        <v>2.2453703703703702E-3</v>
      </c>
      <c r="AA39">
        <v>0.05</v>
      </c>
      <c r="AB39" t="s">
        <v>48</v>
      </c>
      <c r="AC39" s="3">
        <v>0.27837962962962964</v>
      </c>
      <c r="AD39" t="s">
        <v>64</v>
      </c>
      <c r="AE39" t="s">
        <v>38</v>
      </c>
      <c r="AF39" t="s">
        <v>46</v>
      </c>
      <c r="AG39" t="s">
        <v>47</v>
      </c>
      <c r="AH39" s="3">
        <v>2.6747685185185183E-2</v>
      </c>
      <c r="AI39" t="s">
        <v>41</v>
      </c>
    </row>
    <row r="40" spans="1:35">
      <c r="A40">
        <v>20535</v>
      </c>
      <c r="B40" t="s">
        <v>242</v>
      </c>
      <c r="C40">
        <v>7634</v>
      </c>
      <c r="D40" t="s">
        <v>210</v>
      </c>
      <c r="E40">
        <v>3874</v>
      </c>
      <c r="F40" t="s">
        <v>211</v>
      </c>
      <c r="G40" s="1">
        <v>46074</v>
      </c>
      <c r="H40" t="s">
        <v>64</v>
      </c>
      <c r="I40" t="s">
        <v>45</v>
      </c>
      <c r="J40" t="s">
        <v>59</v>
      </c>
      <c r="K40" t="s">
        <v>68</v>
      </c>
      <c r="L40">
        <v>20858</v>
      </c>
      <c r="M40">
        <v>0</v>
      </c>
      <c r="N40">
        <v>0</v>
      </c>
      <c r="O40">
        <v>0</v>
      </c>
      <c r="P40" t="s">
        <v>52</v>
      </c>
      <c r="Q40" t="s">
        <v>140</v>
      </c>
      <c r="R40" t="s">
        <v>36</v>
      </c>
      <c r="S40" t="s">
        <v>69</v>
      </c>
      <c r="T40" s="2">
        <v>46074.647916666669</v>
      </c>
      <c r="U40" s="2">
        <v>46074.660694444443</v>
      </c>
      <c r="V40" s="3">
        <v>1.2777777777777777E-2</v>
      </c>
      <c r="W40" t="s">
        <v>60</v>
      </c>
      <c r="X40">
        <v>6</v>
      </c>
      <c r="Y40">
        <v>37</v>
      </c>
      <c r="Z40" s="3">
        <v>6.7476851851851856E-3</v>
      </c>
      <c r="AA40">
        <v>0.16</v>
      </c>
      <c r="AB40" t="s">
        <v>48</v>
      </c>
      <c r="AC40" s="3">
        <v>0.27837962962962964</v>
      </c>
      <c r="AD40" t="s">
        <v>64</v>
      </c>
      <c r="AE40" t="s">
        <v>38</v>
      </c>
      <c r="AF40" t="s">
        <v>46</v>
      </c>
      <c r="AG40" t="s">
        <v>47</v>
      </c>
      <c r="AH40" s="3">
        <v>2.6747685185185183E-2</v>
      </c>
      <c r="AI40" t="s">
        <v>41</v>
      </c>
    </row>
    <row r="41" spans="1:35">
      <c r="A41">
        <v>20535</v>
      </c>
      <c r="B41" t="s">
        <v>242</v>
      </c>
      <c r="C41">
        <v>7634</v>
      </c>
      <c r="D41" t="s">
        <v>210</v>
      </c>
      <c r="E41">
        <v>3874</v>
      </c>
      <c r="F41" t="s">
        <v>211</v>
      </c>
      <c r="G41" s="1">
        <v>46074</v>
      </c>
      <c r="H41" t="s">
        <v>64</v>
      </c>
      <c r="I41" t="s">
        <v>45</v>
      </c>
      <c r="J41" t="s">
        <v>158</v>
      </c>
      <c r="K41" t="s">
        <v>212</v>
      </c>
      <c r="L41">
        <v>830</v>
      </c>
      <c r="M41">
        <v>0</v>
      </c>
      <c r="N41">
        <v>0</v>
      </c>
      <c r="O41">
        <v>0</v>
      </c>
      <c r="P41" t="s">
        <v>52</v>
      </c>
      <c r="Q41" t="s">
        <v>62</v>
      </c>
      <c r="R41" t="s">
        <v>36</v>
      </c>
      <c r="S41" t="s">
        <v>87</v>
      </c>
      <c r="T41" s="2">
        <v>46074.694687499999</v>
      </c>
      <c r="U41" s="2">
        <v>46074.723032407404</v>
      </c>
      <c r="V41" s="3">
        <v>1.4317129629629631E-2</v>
      </c>
      <c r="W41" t="s">
        <v>49</v>
      </c>
      <c r="X41">
        <v>1</v>
      </c>
      <c r="Y41">
        <v>10</v>
      </c>
      <c r="Z41" s="3">
        <v>4.1666666666666666E-3</v>
      </c>
      <c r="AA41">
        <v>0.1</v>
      </c>
      <c r="AB41" t="s">
        <v>48</v>
      </c>
      <c r="AC41" s="3">
        <v>0.27837962962962964</v>
      </c>
      <c r="AD41" t="s">
        <v>64</v>
      </c>
      <c r="AE41" t="s">
        <v>38</v>
      </c>
      <c r="AF41" t="s">
        <v>46</v>
      </c>
      <c r="AG41" t="s">
        <v>47</v>
      </c>
      <c r="AH41" s="3">
        <v>2.6747685185185183E-2</v>
      </c>
      <c r="AI41" t="s">
        <v>41</v>
      </c>
    </row>
    <row r="42" spans="1:35">
      <c r="A42">
        <v>20535</v>
      </c>
      <c r="B42" t="s">
        <v>242</v>
      </c>
      <c r="C42">
        <v>7634</v>
      </c>
      <c r="D42" t="s">
        <v>210</v>
      </c>
      <c r="E42">
        <v>3874</v>
      </c>
      <c r="F42" t="s">
        <v>211</v>
      </c>
      <c r="G42" s="1">
        <v>46074</v>
      </c>
      <c r="H42" t="s">
        <v>64</v>
      </c>
      <c r="I42" t="s">
        <v>45</v>
      </c>
      <c r="J42" t="s">
        <v>76</v>
      </c>
      <c r="K42" t="s">
        <v>77</v>
      </c>
      <c r="L42">
        <v>4563</v>
      </c>
      <c r="M42">
        <v>0</v>
      </c>
      <c r="N42">
        <v>0</v>
      </c>
      <c r="O42">
        <v>0</v>
      </c>
      <c r="P42" t="s">
        <v>52</v>
      </c>
      <c r="Q42" t="s">
        <v>140</v>
      </c>
      <c r="R42" t="s">
        <v>36</v>
      </c>
      <c r="S42" t="s">
        <v>78</v>
      </c>
      <c r="T42" s="2">
        <v>46074.661435185182</v>
      </c>
      <c r="U42" s="2">
        <v>46074.723993055559</v>
      </c>
      <c r="V42" s="3">
        <v>3.3229166666666664E-2</v>
      </c>
      <c r="W42" t="s">
        <v>60</v>
      </c>
      <c r="X42">
        <v>43</v>
      </c>
      <c r="Y42">
        <v>37</v>
      </c>
      <c r="Z42" s="3">
        <v>4.8414351851851854E-2</v>
      </c>
      <c r="AA42">
        <v>1.1599999999999999</v>
      </c>
      <c r="AB42" t="s">
        <v>48</v>
      </c>
      <c r="AC42" s="3">
        <v>0.27837962962962964</v>
      </c>
      <c r="AD42" t="s">
        <v>64</v>
      </c>
      <c r="AE42" t="s">
        <v>38</v>
      </c>
      <c r="AF42" t="s">
        <v>46</v>
      </c>
      <c r="AG42" t="s">
        <v>47</v>
      </c>
      <c r="AH42" s="3">
        <v>2.6747685185185183E-2</v>
      </c>
      <c r="AI42" t="s">
        <v>41</v>
      </c>
    </row>
    <row r="43" spans="1:35">
      <c r="A43">
        <v>20535</v>
      </c>
      <c r="B43" t="s">
        <v>242</v>
      </c>
      <c r="C43">
        <v>7634</v>
      </c>
      <c r="D43" t="s">
        <v>210</v>
      </c>
      <c r="E43">
        <v>3874</v>
      </c>
      <c r="F43" t="s">
        <v>211</v>
      </c>
      <c r="G43" s="1">
        <v>46074</v>
      </c>
      <c r="H43" t="s">
        <v>64</v>
      </c>
      <c r="I43" t="s">
        <v>45</v>
      </c>
      <c r="J43" t="s">
        <v>59</v>
      </c>
      <c r="K43" t="s">
        <v>243</v>
      </c>
      <c r="L43">
        <v>100670</v>
      </c>
      <c r="M43">
        <v>0</v>
      </c>
      <c r="N43">
        <v>0</v>
      </c>
      <c r="O43">
        <v>0</v>
      </c>
      <c r="P43" t="s">
        <v>52</v>
      </c>
      <c r="Q43" t="s">
        <v>140</v>
      </c>
      <c r="R43" t="s">
        <v>36</v>
      </c>
      <c r="S43" t="s">
        <v>97</v>
      </c>
      <c r="T43" s="2">
        <v>46074.871122685188</v>
      </c>
      <c r="U43" s="2">
        <v>46074.889699074076</v>
      </c>
      <c r="V43" s="3">
        <v>1.8576388888888889E-2</v>
      </c>
      <c r="W43" t="s">
        <v>60</v>
      </c>
      <c r="X43">
        <v>32</v>
      </c>
      <c r="Y43">
        <v>27</v>
      </c>
      <c r="Z43" s="3">
        <v>4.9375000000000002E-2</v>
      </c>
      <c r="AA43">
        <v>1.19</v>
      </c>
      <c r="AB43" t="s">
        <v>48</v>
      </c>
      <c r="AC43" s="3">
        <v>0.27837962962962964</v>
      </c>
      <c r="AD43" t="s">
        <v>64</v>
      </c>
      <c r="AE43" t="s">
        <v>38</v>
      </c>
      <c r="AF43" t="s">
        <v>46</v>
      </c>
      <c r="AG43" t="s">
        <v>47</v>
      </c>
      <c r="AH43" s="3">
        <v>2.6747685185185183E-2</v>
      </c>
      <c r="AI43" t="s">
        <v>41</v>
      </c>
    </row>
    <row r="44" spans="1:35">
      <c r="A44">
        <v>20535</v>
      </c>
      <c r="B44" t="s">
        <v>242</v>
      </c>
      <c r="C44">
        <v>7634</v>
      </c>
      <c r="D44" t="s">
        <v>210</v>
      </c>
      <c r="E44">
        <v>3874</v>
      </c>
      <c r="F44" t="s">
        <v>211</v>
      </c>
      <c r="G44" s="1">
        <v>46074</v>
      </c>
      <c r="H44" t="s">
        <v>64</v>
      </c>
      <c r="I44" t="s">
        <v>45</v>
      </c>
      <c r="J44" t="s">
        <v>158</v>
      </c>
      <c r="K44" t="s">
        <v>238</v>
      </c>
      <c r="L44">
        <v>103247</v>
      </c>
      <c r="M44">
        <v>0</v>
      </c>
      <c r="N44">
        <v>0</v>
      </c>
      <c r="O44">
        <v>0</v>
      </c>
      <c r="P44" t="s">
        <v>52</v>
      </c>
      <c r="Q44" t="s">
        <v>140</v>
      </c>
      <c r="R44" t="s">
        <v>36</v>
      </c>
      <c r="S44" t="s">
        <v>239</v>
      </c>
      <c r="T44" s="2">
        <v>46074.573518518519</v>
      </c>
      <c r="U44" s="2">
        <v>46074.870196759257</v>
      </c>
      <c r="V44" s="3">
        <v>2.6481481481481481E-2</v>
      </c>
      <c r="W44" t="s">
        <v>60</v>
      </c>
      <c r="X44">
        <v>26</v>
      </c>
      <c r="Y44">
        <v>37</v>
      </c>
      <c r="Z44" s="3">
        <v>2.9270833333333333E-2</v>
      </c>
      <c r="AA44">
        <v>0.7</v>
      </c>
      <c r="AB44" t="s">
        <v>48</v>
      </c>
      <c r="AC44" s="3">
        <v>0.27837962962962964</v>
      </c>
      <c r="AD44" t="s">
        <v>64</v>
      </c>
      <c r="AE44" t="s">
        <v>38</v>
      </c>
      <c r="AF44" t="s">
        <v>46</v>
      </c>
      <c r="AG44" t="s">
        <v>47</v>
      </c>
      <c r="AH44" s="3">
        <v>2.6747685185185183E-2</v>
      </c>
      <c r="AI44" t="s">
        <v>41</v>
      </c>
    </row>
    <row r="45" spans="1:35">
      <c r="A45">
        <v>20535</v>
      </c>
      <c r="B45" t="s">
        <v>242</v>
      </c>
      <c r="C45">
        <v>7634</v>
      </c>
      <c r="D45" t="s">
        <v>210</v>
      </c>
      <c r="E45">
        <v>3874</v>
      </c>
      <c r="F45" t="s">
        <v>211</v>
      </c>
      <c r="G45" s="1">
        <v>46074</v>
      </c>
      <c r="H45" t="s">
        <v>64</v>
      </c>
      <c r="I45" t="s">
        <v>45</v>
      </c>
      <c r="J45" t="s">
        <v>59</v>
      </c>
      <c r="K45" t="s">
        <v>65</v>
      </c>
      <c r="L45">
        <v>4351</v>
      </c>
      <c r="M45">
        <v>0</v>
      </c>
      <c r="N45">
        <v>0</v>
      </c>
      <c r="O45">
        <v>0</v>
      </c>
      <c r="P45" t="s">
        <v>52</v>
      </c>
      <c r="Q45" t="s">
        <v>140</v>
      </c>
      <c r="R45" t="s">
        <v>36</v>
      </c>
      <c r="S45" t="s">
        <v>66</v>
      </c>
      <c r="T45" s="2">
        <v>46074.793217592596</v>
      </c>
      <c r="U45" s="2">
        <v>46074.819293981483</v>
      </c>
      <c r="V45" s="3">
        <v>2.6076388888888885E-2</v>
      </c>
      <c r="W45" t="s">
        <v>60</v>
      </c>
      <c r="X45">
        <v>14</v>
      </c>
      <c r="Y45">
        <v>37</v>
      </c>
      <c r="Z45" s="3">
        <v>1.5763888888888886E-2</v>
      </c>
      <c r="AA45">
        <v>0.38</v>
      </c>
      <c r="AB45" t="s">
        <v>48</v>
      </c>
      <c r="AC45" s="3">
        <v>0.27837962962962964</v>
      </c>
      <c r="AD45" t="s">
        <v>64</v>
      </c>
      <c r="AE45" t="s">
        <v>38</v>
      </c>
      <c r="AF45" t="s">
        <v>46</v>
      </c>
      <c r="AG45" t="s">
        <v>47</v>
      </c>
      <c r="AH45" s="3">
        <v>2.6747685185185183E-2</v>
      </c>
      <c r="AI45" t="s">
        <v>41</v>
      </c>
    </row>
    <row r="46" spans="1:35">
      <c r="A46">
        <v>20535</v>
      </c>
      <c r="B46" t="s">
        <v>242</v>
      </c>
      <c r="C46">
        <v>7634</v>
      </c>
      <c r="D46" t="s">
        <v>210</v>
      </c>
      <c r="E46">
        <v>3874</v>
      </c>
      <c r="F46" t="s">
        <v>211</v>
      </c>
      <c r="G46" s="1">
        <v>46074</v>
      </c>
      <c r="H46" t="s">
        <v>64</v>
      </c>
      <c r="I46" t="s">
        <v>45</v>
      </c>
      <c r="J46" t="s">
        <v>76</v>
      </c>
      <c r="K46" t="s">
        <v>244</v>
      </c>
      <c r="L46">
        <v>1941</v>
      </c>
      <c r="M46">
        <v>0</v>
      </c>
      <c r="N46">
        <v>0</v>
      </c>
      <c r="O46">
        <v>0</v>
      </c>
      <c r="P46" t="s">
        <v>52</v>
      </c>
      <c r="Q46" t="s">
        <v>140</v>
      </c>
      <c r="R46" t="s">
        <v>36</v>
      </c>
      <c r="S46" t="s">
        <v>245</v>
      </c>
      <c r="T46" s="2">
        <v>46074.820023148146</v>
      </c>
      <c r="U46" s="2">
        <v>46074.865856481483</v>
      </c>
      <c r="V46" s="3">
        <v>3.2754629629629627E-2</v>
      </c>
      <c r="W46" t="s">
        <v>60</v>
      </c>
      <c r="X46">
        <v>38</v>
      </c>
      <c r="Y46">
        <v>37</v>
      </c>
      <c r="Z46" s="3">
        <v>4.2789351851851849E-2</v>
      </c>
      <c r="AA46">
        <v>1.03</v>
      </c>
      <c r="AB46" t="s">
        <v>48</v>
      </c>
      <c r="AC46" s="3">
        <v>0.27837962962962964</v>
      </c>
      <c r="AD46" t="s">
        <v>64</v>
      </c>
      <c r="AE46" t="s">
        <v>38</v>
      </c>
      <c r="AF46" t="s">
        <v>46</v>
      </c>
      <c r="AG46" t="s">
        <v>47</v>
      </c>
      <c r="AH46" s="3">
        <v>2.6747685185185183E-2</v>
      </c>
      <c r="AI46" t="s">
        <v>41</v>
      </c>
    </row>
    <row r="47" spans="1:35">
      <c r="A47">
        <v>20535</v>
      </c>
      <c r="B47" t="s">
        <v>242</v>
      </c>
      <c r="C47">
        <v>7634</v>
      </c>
      <c r="D47" t="s">
        <v>210</v>
      </c>
      <c r="E47">
        <v>3874</v>
      </c>
      <c r="F47" t="s">
        <v>211</v>
      </c>
      <c r="G47" s="1">
        <v>46074</v>
      </c>
      <c r="H47" t="s">
        <v>64</v>
      </c>
      <c r="I47" t="s">
        <v>45</v>
      </c>
      <c r="J47" t="s">
        <v>76</v>
      </c>
      <c r="K47" t="s">
        <v>77</v>
      </c>
      <c r="L47">
        <v>4564</v>
      </c>
      <c r="M47">
        <v>0</v>
      </c>
      <c r="N47">
        <v>0</v>
      </c>
      <c r="O47">
        <v>0</v>
      </c>
      <c r="P47" t="s">
        <v>52</v>
      </c>
      <c r="Q47" t="s">
        <v>140</v>
      </c>
      <c r="R47" t="s">
        <v>36</v>
      </c>
      <c r="S47" t="s">
        <v>78</v>
      </c>
      <c r="T47" s="2">
        <v>46074.749675925923</v>
      </c>
      <c r="U47" s="2">
        <v>46074.792974537035</v>
      </c>
      <c r="V47" s="3">
        <v>4.0208333333333332E-2</v>
      </c>
      <c r="W47" t="s">
        <v>60</v>
      </c>
      <c r="X47">
        <v>36</v>
      </c>
      <c r="Y47">
        <v>37</v>
      </c>
      <c r="Z47" s="3">
        <v>4.0532407407407406E-2</v>
      </c>
      <c r="AA47">
        <v>0.97</v>
      </c>
      <c r="AB47" t="s">
        <v>48</v>
      </c>
      <c r="AC47" s="3">
        <v>0.27837962962962964</v>
      </c>
      <c r="AD47" t="s">
        <v>64</v>
      </c>
      <c r="AE47" t="s">
        <v>38</v>
      </c>
      <c r="AF47" t="s">
        <v>46</v>
      </c>
      <c r="AG47" t="s">
        <v>47</v>
      </c>
      <c r="AH47" s="3">
        <v>2.6747685185185183E-2</v>
      </c>
      <c r="AI47" t="s">
        <v>41</v>
      </c>
    </row>
    <row r="48" spans="1:35">
      <c r="A48">
        <v>20535</v>
      </c>
      <c r="B48" t="s">
        <v>242</v>
      </c>
      <c r="C48">
        <v>7634</v>
      </c>
      <c r="D48" t="s">
        <v>210</v>
      </c>
      <c r="E48">
        <v>3874</v>
      </c>
      <c r="F48" t="s">
        <v>211</v>
      </c>
      <c r="G48" s="1">
        <v>46074</v>
      </c>
      <c r="H48" t="s">
        <v>64</v>
      </c>
      <c r="I48" t="s">
        <v>45</v>
      </c>
      <c r="J48" t="s">
        <v>132</v>
      </c>
      <c r="K48" t="s">
        <v>133</v>
      </c>
      <c r="L48">
        <v>5381</v>
      </c>
      <c r="M48">
        <v>0</v>
      </c>
      <c r="N48">
        <v>0</v>
      </c>
      <c r="O48">
        <v>0</v>
      </c>
      <c r="P48" t="s">
        <v>52</v>
      </c>
      <c r="Q48" t="s">
        <v>62</v>
      </c>
      <c r="R48" t="s">
        <v>36</v>
      </c>
      <c r="S48" t="s">
        <v>134</v>
      </c>
      <c r="T48" s="2">
        <v>46074.724074074074</v>
      </c>
      <c r="U48" s="2">
        <v>46074.784942129627</v>
      </c>
      <c r="V48" s="3">
        <v>4.8726851851851856E-3</v>
      </c>
      <c r="W48" t="s">
        <v>49</v>
      </c>
      <c r="X48">
        <v>1</v>
      </c>
      <c r="Y48">
        <v>10</v>
      </c>
      <c r="Z48" s="3">
        <v>4.1666666666666666E-3</v>
      </c>
      <c r="AA48">
        <v>0.1</v>
      </c>
      <c r="AB48" t="s">
        <v>48</v>
      </c>
      <c r="AC48" s="3">
        <v>0.27837962962962964</v>
      </c>
      <c r="AD48" t="s">
        <v>64</v>
      </c>
      <c r="AE48" t="s">
        <v>38</v>
      </c>
      <c r="AF48" t="s">
        <v>46</v>
      </c>
      <c r="AG48" t="s">
        <v>47</v>
      </c>
      <c r="AH48" s="3">
        <v>2.6747685185185183E-2</v>
      </c>
      <c r="AI48" t="s">
        <v>41</v>
      </c>
    </row>
    <row r="49" spans="1:35">
      <c r="A49">
        <v>20845</v>
      </c>
      <c r="B49" t="s">
        <v>288</v>
      </c>
      <c r="C49">
        <v>22541</v>
      </c>
      <c r="D49" t="s">
        <v>247</v>
      </c>
      <c r="E49">
        <v>3874</v>
      </c>
      <c r="F49" t="s">
        <v>211</v>
      </c>
      <c r="G49" s="1">
        <v>46074</v>
      </c>
      <c r="H49" t="s">
        <v>64</v>
      </c>
      <c r="I49" t="s">
        <v>45</v>
      </c>
      <c r="J49" t="s">
        <v>85</v>
      </c>
      <c r="K49" t="s">
        <v>135</v>
      </c>
      <c r="L49">
        <v>110138</v>
      </c>
      <c r="M49">
        <v>0</v>
      </c>
      <c r="N49">
        <v>0</v>
      </c>
      <c r="O49">
        <v>0</v>
      </c>
      <c r="P49" t="s">
        <v>99</v>
      </c>
      <c r="Q49" t="s">
        <v>223</v>
      </c>
      <c r="R49" t="s">
        <v>36</v>
      </c>
      <c r="S49" t="s">
        <v>117</v>
      </c>
      <c r="T49" s="2">
        <v>46074.358194444445</v>
      </c>
      <c r="U49" s="2">
        <v>46074.393958333334</v>
      </c>
      <c r="V49" s="3">
        <v>3.5763888888888887E-2</v>
      </c>
      <c r="W49" t="s">
        <v>49</v>
      </c>
      <c r="X49">
        <v>1</v>
      </c>
      <c r="Y49">
        <v>2</v>
      </c>
      <c r="Z49" s="3">
        <v>2.0833333333333332E-2</v>
      </c>
      <c r="AA49">
        <v>0.5</v>
      </c>
      <c r="AB49" t="s">
        <v>56</v>
      </c>
      <c r="AC49" s="3">
        <v>0.25854166666666667</v>
      </c>
      <c r="AD49" t="s">
        <v>64</v>
      </c>
      <c r="AE49" t="s">
        <v>38</v>
      </c>
      <c r="AF49" t="s">
        <v>46</v>
      </c>
      <c r="AG49" t="s">
        <v>47</v>
      </c>
      <c r="AH49" s="3">
        <v>1.8310185185185186E-2</v>
      </c>
      <c r="AI49" t="s">
        <v>41</v>
      </c>
    </row>
    <row r="50" spans="1:35">
      <c r="A50">
        <v>20845</v>
      </c>
      <c r="B50" t="s">
        <v>288</v>
      </c>
      <c r="C50">
        <v>22541</v>
      </c>
      <c r="D50" t="s">
        <v>247</v>
      </c>
      <c r="E50">
        <v>3874</v>
      </c>
      <c r="F50" t="s">
        <v>211</v>
      </c>
      <c r="G50" s="1">
        <v>46074</v>
      </c>
      <c r="H50" t="s">
        <v>64</v>
      </c>
      <c r="I50" t="s">
        <v>45</v>
      </c>
      <c r="J50" t="s">
        <v>85</v>
      </c>
      <c r="K50" t="s">
        <v>135</v>
      </c>
      <c r="L50">
        <v>110137</v>
      </c>
      <c r="M50">
        <v>0</v>
      </c>
      <c r="N50">
        <v>0</v>
      </c>
      <c r="O50">
        <v>0</v>
      </c>
      <c r="P50" t="s">
        <v>52</v>
      </c>
      <c r="Q50" t="s">
        <v>194</v>
      </c>
      <c r="R50" t="s">
        <v>36</v>
      </c>
      <c r="S50" t="s">
        <v>117</v>
      </c>
      <c r="T50" s="2">
        <v>46074.354641203703</v>
      </c>
      <c r="U50" s="2">
        <v>46074.358067129629</v>
      </c>
      <c r="V50" s="3">
        <v>3.425925925925926E-3</v>
      </c>
      <c r="W50" t="s">
        <v>60</v>
      </c>
      <c r="X50">
        <v>27</v>
      </c>
      <c r="Y50">
        <v>90</v>
      </c>
      <c r="Z50" s="3">
        <v>1.2499999999999999E-2</v>
      </c>
      <c r="AA50">
        <v>0.3</v>
      </c>
      <c r="AB50" t="s">
        <v>56</v>
      </c>
      <c r="AC50" s="3">
        <v>0.25854166666666667</v>
      </c>
      <c r="AD50" t="s">
        <v>64</v>
      </c>
      <c r="AE50" t="s">
        <v>38</v>
      </c>
      <c r="AF50" t="s">
        <v>46</v>
      </c>
      <c r="AG50" t="s">
        <v>47</v>
      </c>
      <c r="AH50" s="3">
        <v>1.8310185185185186E-2</v>
      </c>
      <c r="AI50" t="s">
        <v>41</v>
      </c>
    </row>
    <row r="51" spans="1:35">
      <c r="A51">
        <v>20845</v>
      </c>
      <c r="B51" t="s">
        <v>288</v>
      </c>
      <c r="C51">
        <v>22541</v>
      </c>
      <c r="D51" t="s">
        <v>247</v>
      </c>
      <c r="E51">
        <v>3874</v>
      </c>
      <c r="F51" t="s">
        <v>211</v>
      </c>
      <c r="G51" s="1">
        <v>46074</v>
      </c>
      <c r="H51" t="s">
        <v>64</v>
      </c>
      <c r="I51" t="s">
        <v>45</v>
      </c>
      <c r="J51" t="s">
        <v>85</v>
      </c>
      <c r="K51" t="s">
        <v>135</v>
      </c>
      <c r="L51">
        <v>110142</v>
      </c>
      <c r="M51">
        <v>0</v>
      </c>
      <c r="N51">
        <v>0</v>
      </c>
      <c r="O51">
        <v>0</v>
      </c>
      <c r="P51" t="s">
        <v>52</v>
      </c>
      <c r="Q51" t="s">
        <v>194</v>
      </c>
      <c r="R51" t="s">
        <v>36</v>
      </c>
      <c r="S51" t="s">
        <v>117</v>
      </c>
      <c r="T51" s="2">
        <v>46074.436574074076</v>
      </c>
      <c r="U51" s="2">
        <v>46074.439583333333</v>
      </c>
      <c r="V51" s="3">
        <v>3.0092592592592588E-3</v>
      </c>
      <c r="W51" t="s">
        <v>60</v>
      </c>
      <c r="X51">
        <v>34</v>
      </c>
      <c r="Y51">
        <v>90</v>
      </c>
      <c r="Z51" s="3">
        <v>1.5729166666666666E-2</v>
      </c>
      <c r="AA51">
        <v>0.38</v>
      </c>
      <c r="AB51" t="s">
        <v>56</v>
      </c>
      <c r="AC51" s="3">
        <v>0.25854166666666667</v>
      </c>
      <c r="AD51" t="s">
        <v>64</v>
      </c>
      <c r="AE51" t="s">
        <v>38</v>
      </c>
      <c r="AF51" t="s">
        <v>46</v>
      </c>
      <c r="AG51" t="s">
        <v>47</v>
      </c>
      <c r="AH51" s="3">
        <v>1.8310185185185186E-2</v>
      </c>
      <c r="AI51" t="s">
        <v>41</v>
      </c>
    </row>
    <row r="52" spans="1:35">
      <c r="A52">
        <v>20845</v>
      </c>
      <c r="B52" t="s">
        <v>288</v>
      </c>
      <c r="C52">
        <v>22541</v>
      </c>
      <c r="D52" t="s">
        <v>247</v>
      </c>
      <c r="E52">
        <v>3874</v>
      </c>
      <c r="F52" t="s">
        <v>211</v>
      </c>
      <c r="G52" s="1">
        <v>46074</v>
      </c>
      <c r="H52" t="s">
        <v>64</v>
      </c>
      <c r="I52" t="s">
        <v>45</v>
      </c>
      <c r="J52" t="s">
        <v>85</v>
      </c>
      <c r="K52" t="s">
        <v>135</v>
      </c>
      <c r="L52">
        <v>110144</v>
      </c>
      <c r="M52">
        <v>0</v>
      </c>
      <c r="N52">
        <v>0</v>
      </c>
      <c r="O52">
        <v>0</v>
      </c>
      <c r="P52" t="s">
        <v>52</v>
      </c>
      <c r="Q52" t="s">
        <v>194</v>
      </c>
      <c r="R52" t="s">
        <v>36</v>
      </c>
      <c r="S52" t="s">
        <v>117</v>
      </c>
      <c r="T52" s="2">
        <v>46074.571099537039</v>
      </c>
      <c r="U52" s="2">
        <v>46074.575335648151</v>
      </c>
      <c r="V52" s="3">
        <v>4.2361111111111106E-3</v>
      </c>
      <c r="W52" t="s">
        <v>60</v>
      </c>
      <c r="X52">
        <v>21</v>
      </c>
      <c r="Y52">
        <v>90</v>
      </c>
      <c r="Z52" s="3">
        <v>9.7222222222222224E-3</v>
      </c>
      <c r="AA52">
        <v>0.23</v>
      </c>
      <c r="AB52" t="s">
        <v>56</v>
      </c>
      <c r="AC52" s="3">
        <v>0.25854166666666667</v>
      </c>
      <c r="AD52" t="s">
        <v>64</v>
      </c>
      <c r="AE52" t="s">
        <v>38</v>
      </c>
      <c r="AF52" t="s">
        <v>46</v>
      </c>
      <c r="AG52" t="s">
        <v>47</v>
      </c>
      <c r="AH52" s="3">
        <v>1.8310185185185186E-2</v>
      </c>
      <c r="AI52" t="s">
        <v>41</v>
      </c>
    </row>
    <row r="53" spans="1:35">
      <c r="A53">
        <v>20845</v>
      </c>
      <c r="B53" t="s">
        <v>288</v>
      </c>
      <c r="C53">
        <v>22541</v>
      </c>
      <c r="D53" t="s">
        <v>247</v>
      </c>
      <c r="E53">
        <v>3874</v>
      </c>
      <c r="F53" t="s">
        <v>211</v>
      </c>
      <c r="G53" s="1">
        <v>46074</v>
      </c>
      <c r="H53" t="s">
        <v>64</v>
      </c>
      <c r="I53" t="s">
        <v>45</v>
      </c>
      <c r="J53" t="s">
        <v>115</v>
      </c>
      <c r="K53" t="s">
        <v>116</v>
      </c>
      <c r="L53">
        <v>101128</v>
      </c>
      <c r="M53">
        <v>0</v>
      </c>
      <c r="N53">
        <v>0</v>
      </c>
      <c r="O53">
        <v>0</v>
      </c>
      <c r="P53" t="s">
        <v>99</v>
      </c>
      <c r="Q53" t="s">
        <v>224</v>
      </c>
      <c r="R53" t="s">
        <v>36</v>
      </c>
      <c r="S53" t="s">
        <v>117</v>
      </c>
      <c r="T53" s="2">
        <v>46074.48228009259</v>
      </c>
      <c r="U53" s="2">
        <v>46074.519699074073</v>
      </c>
      <c r="V53" s="3">
        <v>3.7418981481481477E-2</v>
      </c>
      <c r="W53" t="s">
        <v>49</v>
      </c>
      <c r="X53">
        <v>1</v>
      </c>
      <c r="Y53">
        <v>4</v>
      </c>
      <c r="Z53" s="3">
        <v>1.0416666666666666E-2</v>
      </c>
      <c r="AA53">
        <v>0.25</v>
      </c>
      <c r="AB53" t="s">
        <v>56</v>
      </c>
      <c r="AC53" s="3">
        <v>0.25854166666666667</v>
      </c>
      <c r="AD53" t="s">
        <v>64</v>
      </c>
      <c r="AE53" t="s">
        <v>38</v>
      </c>
      <c r="AF53" t="s">
        <v>46</v>
      </c>
      <c r="AG53" t="s">
        <v>47</v>
      </c>
      <c r="AH53" s="3">
        <v>1.8310185185185186E-2</v>
      </c>
      <c r="AI53" t="s">
        <v>41</v>
      </c>
    </row>
    <row r="54" spans="1:35">
      <c r="A54">
        <v>20845</v>
      </c>
      <c r="B54" t="s">
        <v>288</v>
      </c>
      <c r="C54">
        <v>22541</v>
      </c>
      <c r="D54" t="s">
        <v>247</v>
      </c>
      <c r="E54">
        <v>3874</v>
      </c>
      <c r="F54" t="s">
        <v>211</v>
      </c>
      <c r="G54" s="1">
        <v>46074</v>
      </c>
      <c r="H54" t="s">
        <v>64</v>
      </c>
      <c r="I54" t="s">
        <v>45</v>
      </c>
      <c r="J54" t="s">
        <v>85</v>
      </c>
      <c r="K54" t="s">
        <v>135</v>
      </c>
      <c r="L54">
        <v>110144</v>
      </c>
      <c r="M54">
        <v>0</v>
      </c>
      <c r="N54">
        <v>0</v>
      </c>
      <c r="O54">
        <v>0</v>
      </c>
      <c r="P54" t="s">
        <v>99</v>
      </c>
      <c r="Q54" t="s">
        <v>223</v>
      </c>
      <c r="R54" t="s">
        <v>36</v>
      </c>
      <c r="S54" t="s">
        <v>117</v>
      </c>
      <c r="T54" s="2">
        <v>46074.527870370373</v>
      </c>
      <c r="U54" s="2">
        <v>46074.571018518516</v>
      </c>
      <c r="V54" s="3">
        <v>2.3912037037037034E-2</v>
      </c>
      <c r="W54" t="s">
        <v>49</v>
      </c>
      <c r="X54">
        <v>1</v>
      </c>
      <c r="Y54">
        <v>2</v>
      </c>
      <c r="Z54" s="3">
        <v>2.0833333333333332E-2</v>
      </c>
      <c r="AA54">
        <v>0.5</v>
      </c>
      <c r="AB54" t="s">
        <v>56</v>
      </c>
      <c r="AC54" s="3">
        <v>0.25854166666666667</v>
      </c>
      <c r="AD54" t="s">
        <v>64</v>
      </c>
      <c r="AE54" t="s">
        <v>38</v>
      </c>
      <c r="AF54" t="s">
        <v>46</v>
      </c>
      <c r="AG54" t="s">
        <v>47</v>
      </c>
      <c r="AH54" s="3">
        <v>1.8310185185185186E-2</v>
      </c>
      <c r="AI54" t="s">
        <v>41</v>
      </c>
    </row>
    <row r="55" spans="1:35">
      <c r="A55">
        <v>20845</v>
      </c>
      <c r="B55" t="s">
        <v>288</v>
      </c>
      <c r="C55">
        <v>22541</v>
      </c>
      <c r="D55" t="s">
        <v>247</v>
      </c>
      <c r="E55">
        <v>3874</v>
      </c>
      <c r="F55" t="s">
        <v>211</v>
      </c>
      <c r="G55" s="1">
        <v>46074</v>
      </c>
      <c r="H55" t="s">
        <v>64</v>
      </c>
      <c r="I55" t="s">
        <v>45</v>
      </c>
      <c r="J55" t="s">
        <v>115</v>
      </c>
      <c r="K55" t="s">
        <v>116</v>
      </c>
      <c r="L55">
        <v>101128</v>
      </c>
      <c r="M55">
        <v>0</v>
      </c>
      <c r="N55">
        <v>0</v>
      </c>
      <c r="O55">
        <v>0</v>
      </c>
      <c r="P55" t="s">
        <v>52</v>
      </c>
      <c r="Q55" t="s">
        <v>194</v>
      </c>
      <c r="R55" t="s">
        <v>36</v>
      </c>
      <c r="S55" t="s">
        <v>117</v>
      </c>
      <c r="T55" s="2">
        <v>46074.519768518519</v>
      </c>
      <c r="U55" s="2">
        <v>46074.527662037035</v>
      </c>
      <c r="V55" s="3">
        <v>7.8935185185185185E-3</v>
      </c>
      <c r="W55" t="s">
        <v>60</v>
      </c>
      <c r="X55">
        <v>38</v>
      </c>
      <c r="Y55">
        <v>90</v>
      </c>
      <c r="Z55" s="3">
        <v>1.7592592592592594E-2</v>
      </c>
      <c r="AA55">
        <v>0.42</v>
      </c>
      <c r="AB55" t="s">
        <v>56</v>
      </c>
      <c r="AC55" s="3">
        <v>0.25854166666666667</v>
      </c>
      <c r="AD55" t="s">
        <v>64</v>
      </c>
      <c r="AE55" t="s">
        <v>38</v>
      </c>
      <c r="AF55" t="s">
        <v>46</v>
      </c>
      <c r="AG55" t="s">
        <v>47</v>
      </c>
      <c r="AH55" s="3">
        <v>1.8310185185185186E-2</v>
      </c>
      <c r="AI55" t="s">
        <v>41</v>
      </c>
    </row>
    <row r="56" spans="1:35">
      <c r="A56">
        <v>20845</v>
      </c>
      <c r="B56" t="s">
        <v>288</v>
      </c>
      <c r="C56">
        <v>22541</v>
      </c>
      <c r="D56" t="s">
        <v>247</v>
      </c>
      <c r="E56">
        <v>3874</v>
      </c>
      <c r="F56" t="s">
        <v>211</v>
      </c>
      <c r="G56" s="1">
        <v>46074</v>
      </c>
      <c r="H56" t="s">
        <v>64</v>
      </c>
      <c r="I56" t="s">
        <v>45</v>
      </c>
      <c r="J56" t="s">
        <v>85</v>
      </c>
      <c r="K56" t="s">
        <v>135</v>
      </c>
      <c r="L56">
        <v>110138</v>
      </c>
      <c r="M56">
        <v>0</v>
      </c>
      <c r="N56">
        <v>0</v>
      </c>
      <c r="O56">
        <v>0</v>
      </c>
      <c r="P56" t="s">
        <v>52</v>
      </c>
      <c r="Q56" t="s">
        <v>194</v>
      </c>
      <c r="R56" t="s">
        <v>36</v>
      </c>
      <c r="S56" t="s">
        <v>117</v>
      </c>
      <c r="T56" s="2">
        <v>46074.394016203703</v>
      </c>
      <c r="U56" s="2">
        <v>46074.397326388891</v>
      </c>
      <c r="V56" s="3">
        <v>3.3101851851851851E-3</v>
      </c>
      <c r="W56" t="s">
        <v>60</v>
      </c>
      <c r="X56">
        <v>21</v>
      </c>
      <c r="Y56">
        <v>90</v>
      </c>
      <c r="Z56" s="3">
        <v>9.7222222222222224E-3</v>
      </c>
      <c r="AA56">
        <v>0.23</v>
      </c>
      <c r="AB56" t="s">
        <v>56</v>
      </c>
      <c r="AC56" s="3">
        <v>0.25854166666666667</v>
      </c>
      <c r="AD56" t="s">
        <v>64</v>
      </c>
      <c r="AE56" t="s">
        <v>38</v>
      </c>
      <c r="AF56" t="s">
        <v>46</v>
      </c>
      <c r="AG56" t="s">
        <v>47</v>
      </c>
      <c r="AH56" s="3">
        <v>1.8310185185185186E-2</v>
      </c>
      <c r="AI56" t="s">
        <v>41</v>
      </c>
    </row>
    <row r="57" spans="1:35">
      <c r="A57">
        <v>20845</v>
      </c>
      <c r="B57" t="s">
        <v>288</v>
      </c>
      <c r="C57">
        <v>22541</v>
      </c>
      <c r="D57" t="s">
        <v>247</v>
      </c>
      <c r="E57">
        <v>3874</v>
      </c>
      <c r="F57" t="s">
        <v>211</v>
      </c>
      <c r="G57" s="1">
        <v>46074</v>
      </c>
      <c r="H57" t="s">
        <v>64</v>
      </c>
      <c r="I57" t="s">
        <v>45</v>
      </c>
      <c r="J57" t="s">
        <v>129</v>
      </c>
      <c r="K57" t="s">
        <v>130</v>
      </c>
      <c r="L57">
        <v>112202</v>
      </c>
      <c r="M57">
        <v>0</v>
      </c>
      <c r="N57">
        <v>0</v>
      </c>
      <c r="O57">
        <v>0</v>
      </c>
      <c r="P57" t="s">
        <v>99</v>
      </c>
      <c r="Q57" t="s">
        <v>223</v>
      </c>
      <c r="R57" t="s">
        <v>36</v>
      </c>
      <c r="S57" t="s">
        <v>117</v>
      </c>
      <c r="T57" s="2">
        <v>46074.287708333337</v>
      </c>
      <c r="U57" s="2">
        <v>46074.311423611114</v>
      </c>
      <c r="V57" s="3">
        <v>2.3715277777777776E-2</v>
      </c>
      <c r="W57" t="s">
        <v>49</v>
      </c>
      <c r="X57">
        <v>1</v>
      </c>
      <c r="Y57">
        <v>2</v>
      </c>
      <c r="Z57" s="3">
        <v>2.0833333333333332E-2</v>
      </c>
      <c r="AA57">
        <v>0.5</v>
      </c>
      <c r="AB57" t="s">
        <v>56</v>
      </c>
      <c r="AC57" s="3">
        <v>0.25854166666666667</v>
      </c>
      <c r="AD57" t="s">
        <v>64</v>
      </c>
      <c r="AE57" t="s">
        <v>38</v>
      </c>
      <c r="AF57" t="s">
        <v>46</v>
      </c>
      <c r="AG57" t="s">
        <v>47</v>
      </c>
      <c r="AH57" s="3">
        <v>1.8310185185185186E-2</v>
      </c>
      <c r="AI57" t="s">
        <v>41</v>
      </c>
    </row>
    <row r="58" spans="1:35">
      <c r="A58">
        <v>20845</v>
      </c>
      <c r="B58" t="s">
        <v>288</v>
      </c>
      <c r="C58">
        <v>22541</v>
      </c>
      <c r="D58" t="s">
        <v>247</v>
      </c>
      <c r="E58">
        <v>3874</v>
      </c>
      <c r="F58" t="s">
        <v>211</v>
      </c>
      <c r="G58" s="1">
        <v>46074</v>
      </c>
      <c r="H58" t="s">
        <v>64</v>
      </c>
      <c r="I58" t="s">
        <v>45</v>
      </c>
      <c r="J58" t="s">
        <v>85</v>
      </c>
      <c r="K58" t="s">
        <v>135</v>
      </c>
      <c r="L58">
        <v>110136</v>
      </c>
      <c r="M58">
        <v>0</v>
      </c>
      <c r="N58">
        <v>0</v>
      </c>
      <c r="O58">
        <v>0</v>
      </c>
      <c r="P58" t="s">
        <v>99</v>
      </c>
      <c r="Q58" t="s">
        <v>223</v>
      </c>
      <c r="R58" t="s">
        <v>36</v>
      </c>
      <c r="S58" t="s">
        <v>117</v>
      </c>
      <c r="T58" s="2">
        <v>46074.311469907407</v>
      </c>
      <c r="U58" s="2">
        <v>46074.336562500001</v>
      </c>
      <c r="V58" s="3">
        <v>2.5092592592592593E-2</v>
      </c>
      <c r="W58" t="s">
        <v>49</v>
      </c>
      <c r="X58">
        <v>1</v>
      </c>
      <c r="Y58">
        <v>2</v>
      </c>
      <c r="Z58" s="3">
        <v>2.0833333333333332E-2</v>
      </c>
      <c r="AA58">
        <v>0.5</v>
      </c>
      <c r="AB58" t="s">
        <v>56</v>
      </c>
      <c r="AC58" s="3">
        <v>0.25854166666666667</v>
      </c>
      <c r="AD58" t="s">
        <v>64</v>
      </c>
      <c r="AE58" t="s">
        <v>38</v>
      </c>
      <c r="AF58" t="s">
        <v>46</v>
      </c>
      <c r="AG58" t="s">
        <v>47</v>
      </c>
      <c r="AH58" s="3">
        <v>1.8310185185185186E-2</v>
      </c>
      <c r="AI58" t="s">
        <v>41</v>
      </c>
    </row>
    <row r="59" spans="1:35">
      <c r="A59">
        <v>20845</v>
      </c>
      <c r="B59" t="s">
        <v>288</v>
      </c>
      <c r="C59">
        <v>22541</v>
      </c>
      <c r="D59" t="s">
        <v>247</v>
      </c>
      <c r="E59">
        <v>3874</v>
      </c>
      <c r="F59" t="s">
        <v>211</v>
      </c>
      <c r="G59" s="1">
        <v>46074</v>
      </c>
      <c r="H59" t="s">
        <v>64</v>
      </c>
      <c r="I59" t="s">
        <v>45</v>
      </c>
      <c r="J59" t="s">
        <v>129</v>
      </c>
      <c r="K59" t="s">
        <v>130</v>
      </c>
      <c r="L59">
        <v>112200</v>
      </c>
      <c r="M59">
        <v>0</v>
      </c>
      <c r="N59">
        <v>0</v>
      </c>
      <c r="O59">
        <v>0</v>
      </c>
      <c r="P59" t="s">
        <v>99</v>
      </c>
      <c r="Q59" t="s">
        <v>223</v>
      </c>
      <c r="R59" t="s">
        <v>36</v>
      </c>
      <c r="S59" t="s">
        <v>117</v>
      </c>
      <c r="T59" s="2">
        <v>46074.247858796298</v>
      </c>
      <c r="U59" s="2">
        <v>46074.280405092592</v>
      </c>
      <c r="V59" s="3">
        <v>3.2546296296296295E-2</v>
      </c>
      <c r="W59" t="s">
        <v>49</v>
      </c>
      <c r="X59">
        <v>1</v>
      </c>
      <c r="Y59">
        <v>2</v>
      </c>
      <c r="Z59" s="3">
        <v>2.0833333333333332E-2</v>
      </c>
      <c r="AA59">
        <v>0.5</v>
      </c>
      <c r="AB59" t="s">
        <v>56</v>
      </c>
      <c r="AC59" s="3">
        <v>0.25854166666666667</v>
      </c>
      <c r="AD59" t="s">
        <v>64</v>
      </c>
      <c r="AE59" t="s">
        <v>38</v>
      </c>
      <c r="AF59" t="s">
        <v>46</v>
      </c>
      <c r="AG59" t="s">
        <v>47</v>
      </c>
      <c r="AH59" s="3">
        <v>1.8310185185185186E-2</v>
      </c>
      <c r="AI59" t="s">
        <v>41</v>
      </c>
    </row>
    <row r="60" spans="1:35">
      <c r="A60">
        <v>20845</v>
      </c>
      <c r="B60" t="s">
        <v>288</v>
      </c>
      <c r="C60">
        <v>22541</v>
      </c>
      <c r="D60" t="s">
        <v>247</v>
      </c>
      <c r="E60">
        <v>3874</v>
      </c>
      <c r="F60" t="s">
        <v>211</v>
      </c>
      <c r="G60" s="1">
        <v>46074</v>
      </c>
      <c r="H60" t="s">
        <v>64</v>
      </c>
      <c r="I60" t="s">
        <v>45</v>
      </c>
      <c r="J60" t="s">
        <v>129</v>
      </c>
      <c r="K60" t="s">
        <v>130</v>
      </c>
      <c r="L60">
        <v>112200</v>
      </c>
      <c r="M60">
        <v>0</v>
      </c>
      <c r="N60">
        <v>0</v>
      </c>
      <c r="O60">
        <v>0</v>
      </c>
      <c r="P60" t="s">
        <v>52</v>
      </c>
      <c r="Q60" t="s">
        <v>194</v>
      </c>
      <c r="R60" t="s">
        <v>36</v>
      </c>
      <c r="S60" t="s">
        <v>117</v>
      </c>
      <c r="T60" s="2">
        <v>46074.280497685184</v>
      </c>
      <c r="U60" s="2">
        <v>46074.28765046296</v>
      </c>
      <c r="V60" s="3">
        <v>7.1527777777777787E-3</v>
      </c>
      <c r="W60" t="s">
        <v>60</v>
      </c>
      <c r="X60">
        <v>18</v>
      </c>
      <c r="Y60">
        <v>90</v>
      </c>
      <c r="Z60" s="3">
        <v>8.3333333333333332E-3</v>
      </c>
      <c r="AA60">
        <v>0.2</v>
      </c>
      <c r="AB60" t="s">
        <v>56</v>
      </c>
      <c r="AC60" s="3">
        <v>0.25854166666666667</v>
      </c>
      <c r="AD60" t="s">
        <v>64</v>
      </c>
      <c r="AE60" t="s">
        <v>38</v>
      </c>
      <c r="AF60" t="s">
        <v>46</v>
      </c>
      <c r="AG60" t="s">
        <v>47</v>
      </c>
      <c r="AH60" s="3">
        <v>1.8310185185185186E-2</v>
      </c>
      <c r="AI60" t="s">
        <v>41</v>
      </c>
    </row>
    <row r="61" spans="1:35">
      <c r="A61">
        <v>20845</v>
      </c>
      <c r="B61" t="s">
        <v>288</v>
      </c>
      <c r="C61">
        <v>22541</v>
      </c>
      <c r="D61" t="s">
        <v>247</v>
      </c>
      <c r="E61">
        <v>3874</v>
      </c>
      <c r="F61" t="s">
        <v>211</v>
      </c>
      <c r="G61" s="1">
        <v>46074</v>
      </c>
      <c r="H61" t="s">
        <v>64</v>
      </c>
      <c r="I61" t="s">
        <v>45</v>
      </c>
      <c r="J61" t="s">
        <v>85</v>
      </c>
      <c r="K61" t="s">
        <v>135</v>
      </c>
      <c r="L61">
        <v>110136</v>
      </c>
      <c r="M61">
        <v>0</v>
      </c>
      <c r="N61">
        <v>0</v>
      </c>
      <c r="O61">
        <v>0</v>
      </c>
      <c r="P61" t="s">
        <v>52</v>
      </c>
      <c r="Q61" t="s">
        <v>194</v>
      </c>
      <c r="R61" t="s">
        <v>36</v>
      </c>
      <c r="S61" t="s">
        <v>117</v>
      </c>
      <c r="T61" s="2">
        <v>46074.336643518516</v>
      </c>
      <c r="U61" s="2">
        <v>46074.33971064815</v>
      </c>
      <c r="V61" s="3">
        <v>3.0671296296296297E-3</v>
      </c>
      <c r="W61" t="s">
        <v>60</v>
      </c>
      <c r="X61">
        <v>17</v>
      </c>
      <c r="Y61">
        <v>90</v>
      </c>
      <c r="Z61" s="3">
        <v>7.858796296296296E-3</v>
      </c>
      <c r="AA61">
        <v>0.19</v>
      </c>
      <c r="AB61" t="s">
        <v>56</v>
      </c>
      <c r="AC61" s="3">
        <v>0.25854166666666667</v>
      </c>
      <c r="AD61" t="s">
        <v>64</v>
      </c>
      <c r="AE61" t="s">
        <v>38</v>
      </c>
      <c r="AF61" t="s">
        <v>46</v>
      </c>
      <c r="AG61" t="s">
        <v>47</v>
      </c>
      <c r="AH61" s="3">
        <v>1.8310185185185186E-2</v>
      </c>
      <c r="AI61" t="s">
        <v>41</v>
      </c>
    </row>
    <row r="62" spans="1:35">
      <c r="A62">
        <v>20845</v>
      </c>
      <c r="B62" t="s">
        <v>288</v>
      </c>
      <c r="C62">
        <v>22541</v>
      </c>
      <c r="D62" t="s">
        <v>247</v>
      </c>
      <c r="E62">
        <v>3874</v>
      </c>
      <c r="F62" t="s">
        <v>211</v>
      </c>
      <c r="G62" s="1">
        <v>46074</v>
      </c>
      <c r="H62" t="s">
        <v>64</v>
      </c>
      <c r="I62" t="s">
        <v>45</v>
      </c>
      <c r="J62" t="s">
        <v>85</v>
      </c>
      <c r="K62" t="s">
        <v>135</v>
      </c>
      <c r="L62">
        <v>110137</v>
      </c>
      <c r="M62">
        <v>0</v>
      </c>
      <c r="N62">
        <v>0</v>
      </c>
      <c r="O62">
        <v>0</v>
      </c>
      <c r="P62" t="s">
        <v>99</v>
      </c>
      <c r="Q62" t="s">
        <v>223</v>
      </c>
      <c r="R62" t="s">
        <v>36</v>
      </c>
      <c r="S62" t="s">
        <v>117</v>
      </c>
      <c r="T62" s="2">
        <v>46074.339756944442</v>
      </c>
      <c r="U62" s="2">
        <v>46074.354583333334</v>
      </c>
      <c r="V62" s="3">
        <v>1.4826388888888889E-2</v>
      </c>
      <c r="W62" t="s">
        <v>49</v>
      </c>
      <c r="X62">
        <v>1</v>
      </c>
      <c r="Y62">
        <v>2</v>
      </c>
      <c r="Z62" s="3">
        <v>2.0833333333333332E-2</v>
      </c>
      <c r="AA62">
        <v>0.5</v>
      </c>
      <c r="AB62" t="s">
        <v>56</v>
      </c>
      <c r="AC62" s="3">
        <v>0.25854166666666667</v>
      </c>
      <c r="AD62" t="s">
        <v>64</v>
      </c>
      <c r="AE62" t="s">
        <v>38</v>
      </c>
      <c r="AF62" t="s">
        <v>46</v>
      </c>
      <c r="AG62" t="s">
        <v>47</v>
      </c>
      <c r="AH62" s="3">
        <v>1.8310185185185186E-2</v>
      </c>
      <c r="AI62" t="s">
        <v>41</v>
      </c>
    </row>
    <row r="63" spans="1:35">
      <c r="A63">
        <v>20845</v>
      </c>
      <c r="B63" t="s">
        <v>288</v>
      </c>
      <c r="C63">
        <v>22541</v>
      </c>
      <c r="D63" t="s">
        <v>247</v>
      </c>
      <c r="E63">
        <v>3874</v>
      </c>
      <c r="F63" t="s">
        <v>211</v>
      </c>
      <c r="G63" s="1">
        <v>46074</v>
      </c>
      <c r="H63" t="s">
        <v>64</v>
      </c>
      <c r="I63" t="s">
        <v>45</v>
      </c>
      <c r="J63" t="s">
        <v>85</v>
      </c>
      <c r="K63" t="s">
        <v>135</v>
      </c>
      <c r="L63">
        <v>110142</v>
      </c>
      <c r="M63">
        <v>0</v>
      </c>
      <c r="N63">
        <v>0</v>
      </c>
      <c r="O63">
        <v>0</v>
      </c>
      <c r="P63" t="s">
        <v>99</v>
      </c>
      <c r="Q63" t="s">
        <v>223</v>
      </c>
      <c r="R63" t="s">
        <v>36</v>
      </c>
      <c r="S63" t="s">
        <v>117</v>
      </c>
      <c r="T63" s="2">
        <v>46074.40320601852</v>
      </c>
      <c r="U63" s="2">
        <v>46074.436469907407</v>
      </c>
      <c r="V63" s="3">
        <v>3.3263888888888891E-2</v>
      </c>
      <c r="W63" t="s">
        <v>49</v>
      </c>
      <c r="X63">
        <v>1</v>
      </c>
      <c r="Y63">
        <v>2</v>
      </c>
      <c r="Z63" s="3">
        <v>2.0833333333333332E-2</v>
      </c>
      <c r="AA63">
        <v>0.5</v>
      </c>
      <c r="AB63" t="s">
        <v>56</v>
      </c>
      <c r="AC63" s="3">
        <v>0.25854166666666667</v>
      </c>
      <c r="AD63" t="s">
        <v>64</v>
      </c>
      <c r="AE63" t="s">
        <v>38</v>
      </c>
      <c r="AF63" t="s">
        <v>46</v>
      </c>
      <c r="AG63" t="s">
        <v>47</v>
      </c>
      <c r="AH63" s="3">
        <v>1.8310185185185186E-2</v>
      </c>
      <c r="AI63" t="s">
        <v>41</v>
      </c>
    </row>
    <row r="64" spans="1:35">
      <c r="A64">
        <v>20845</v>
      </c>
      <c r="B64" t="s">
        <v>288</v>
      </c>
      <c r="C64">
        <v>22541</v>
      </c>
      <c r="D64" t="s">
        <v>247</v>
      </c>
      <c r="E64">
        <v>3874</v>
      </c>
      <c r="F64" t="s">
        <v>211</v>
      </c>
      <c r="G64" s="1">
        <v>46074</v>
      </c>
      <c r="H64" t="s">
        <v>64</v>
      </c>
      <c r="I64" t="s">
        <v>45</v>
      </c>
      <c r="J64" t="s">
        <v>85</v>
      </c>
      <c r="K64" t="s">
        <v>135</v>
      </c>
      <c r="L64">
        <v>110143</v>
      </c>
      <c r="M64">
        <v>0</v>
      </c>
      <c r="N64">
        <v>0</v>
      </c>
      <c r="O64">
        <v>0</v>
      </c>
      <c r="P64" t="s">
        <v>99</v>
      </c>
      <c r="Q64" t="s">
        <v>223</v>
      </c>
      <c r="R64" t="s">
        <v>36</v>
      </c>
      <c r="S64" t="s">
        <v>117</v>
      </c>
      <c r="T64" s="2">
        <v>46074.439664351848</v>
      </c>
      <c r="U64" s="2">
        <v>46074.482094907406</v>
      </c>
      <c r="V64" s="3">
        <v>4.2430555555555555E-2</v>
      </c>
      <c r="W64" t="s">
        <v>49</v>
      </c>
      <c r="X64">
        <v>1</v>
      </c>
      <c r="Y64">
        <v>2</v>
      </c>
      <c r="Z64" s="3">
        <v>2.0833333333333332E-2</v>
      </c>
      <c r="AA64">
        <v>0.5</v>
      </c>
      <c r="AB64" t="s">
        <v>56</v>
      </c>
      <c r="AC64" s="3">
        <v>0.25854166666666667</v>
      </c>
      <c r="AD64" t="s">
        <v>64</v>
      </c>
      <c r="AE64" t="s">
        <v>38</v>
      </c>
      <c r="AF64" t="s">
        <v>46</v>
      </c>
      <c r="AG64" t="s">
        <v>47</v>
      </c>
      <c r="AH64" s="3">
        <v>1.8310185185185186E-2</v>
      </c>
      <c r="AI64" t="s">
        <v>41</v>
      </c>
    </row>
    <row r="65" spans="1:35">
      <c r="A65">
        <v>20885</v>
      </c>
      <c r="B65" t="s">
        <v>289</v>
      </c>
      <c r="C65">
        <v>4175</v>
      </c>
      <c r="D65" t="s">
        <v>195</v>
      </c>
      <c r="E65">
        <v>3874</v>
      </c>
      <c r="F65" t="s">
        <v>211</v>
      </c>
      <c r="G65" s="1">
        <v>46074</v>
      </c>
      <c r="H65" t="s">
        <v>64</v>
      </c>
      <c r="I65" t="s">
        <v>45</v>
      </c>
      <c r="J65" t="s">
        <v>102</v>
      </c>
      <c r="K65" t="s">
        <v>216</v>
      </c>
      <c r="L65">
        <v>101517</v>
      </c>
      <c r="M65">
        <v>0</v>
      </c>
      <c r="N65">
        <v>0</v>
      </c>
      <c r="O65">
        <v>0</v>
      </c>
      <c r="P65" t="s">
        <v>52</v>
      </c>
      <c r="Q65" t="s">
        <v>140</v>
      </c>
      <c r="R65" t="s">
        <v>36</v>
      </c>
      <c r="S65" t="s">
        <v>217</v>
      </c>
      <c r="T65" s="2">
        <v>46074.287430555552</v>
      </c>
      <c r="U65" s="2">
        <v>46074.293252314812</v>
      </c>
      <c r="V65" s="3">
        <v>5.8217592592592592E-3</v>
      </c>
      <c r="W65" t="s">
        <v>60</v>
      </c>
      <c r="X65">
        <v>5</v>
      </c>
      <c r="Y65">
        <v>37</v>
      </c>
      <c r="Z65" s="3">
        <v>5.6249999999999989E-3</v>
      </c>
      <c r="AA65">
        <v>0.14000000000000001</v>
      </c>
      <c r="AB65" t="s">
        <v>48</v>
      </c>
      <c r="AC65" s="3">
        <v>0.32502314814814814</v>
      </c>
      <c r="AD65" t="s">
        <v>64</v>
      </c>
      <c r="AE65" t="s">
        <v>38</v>
      </c>
      <c r="AF65" t="s">
        <v>39</v>
      </c>
      <c r="AG65" t="s">
        <v>40</v>
      </c>
      <c r="AH65" s="3">
        <v>1.5208333333333332E-2</v>
      </c>
      <c r="AI65" t="s">
        <v>41</v>
      </c>
    </row>
    <row r="66" spans="1:35">
      <c r="A66">
        <v>20885</v>
      </c>
      <c r="B66" t="s">
        <v>289</v>
      </c>
      <c r="C66">
        <v>4175</v>
      </c>
      <c r="D66" t="s">
        <v>195</v>
      </c>
      <c r="E66">
        <v>3874</v>
      </c>
      <c r="F66" t="s">
        <v>211</v>
      </c>
      <c r="G66" s="1">
        <v>46074</v>
      </c>
      <c r="H66" t="s">
        <v>64</v>
      </c>
      <c r="I66" t="s">
        <v>45</v>
      </c>
      <c r="J66" t="s">
        <v>132</v>
      </c>
      <c r="K66" t="s">
        <v>206</v>
      </c>
      <c r="L66">
        <v>7322</v>
      </c>
      <c r="M66">
        <v>0</v>
      </c>
      <c r="N66">
        <v>0</v>
      </c>
      <c r="O66">
        <v>0</v>
      </c>
      <c r="P66" t="s">
        <v>52</v>
      </c>
      <c r="Q66" t="s">
        <v>140</v>
      </c>
      <c r="R66" t="s">
        <v>36</v>
      </c>
      <c r="S66" t="s">
        <v>186</v>
      </c>
      <c r="T66" s="2">
        <v>46073.335104166668</v>
      </c>
      <c r="U66" s="2">
        <v>46074.277638888889</v>
      </c>
      <c r="V66" s="3">
        <v>3.0428240740740742E-2</v>
      </c>
      <c r="W66" t="s">
        <v>60</v>
      </c>
      <c r="X66">
        <v>42</v>
      </c>
      <c r="Y66">
        <v>37</v>
      </c>
      <c r="Z66" s="3">
        <v>4.7291666666666669E-2</v>
      </c>
      <c r="AA66">
        <v>1.1399999999999999</v>
      </c>
      <c r="AB66" t="s">
        <v>48</v>
      </c>
      <c r="AC66" s="3">
        <v>0.32502314814814814</v>
      </c>
      <c r="AD66" t="s">
        <v>64</v>
      </c>
      <c r="AE66" t="s">
        <v>38</v>
      </c>
      <c r="AF66" t="s">
        <v>39</v>
      </c>
      <c r="AG66" t="s">
        <v>40</v>
      </c>
      <c r="AH66" s="3">
        <v>1.5208333333333332E-2</v>
      </c>
      <c r="AI66" t="s">
        <v>41</v>
      </c>
    </row>
    <row r="67" spans="1:35">
      <c r="A67">
        <v>20885</v>
      </c>
      <c r="B67" t="s">
        <v>289</v>
      </c>
      <c r="C67">
        <v>4175</v>
      </c>
      <c r="D67" t="s">
        <v>195</v>
      </c>
      <c r="E67">
        <v>3874</v>
      </c>
      <c r="F67" t="s">
        <v>211</v>
      </c>
      <c r="G67" s="1">
        <v>46074</v>
      </c>
      <c r="H67" t="s">
        <v>64</v>
      </c>
      <c r="I67" t="s">
        <v>45</v>
      </c>
      <c r="J67" t="s">
        <v>102</v>
      </c>
      <c r="K67" t="s">
        <v>197</v>
      </c>
      <c r="L67">
        <v>8668</v>
      </c>
      <c r="M67">
        <v>0</v>
      </c>
      <c r="N67">
        <v>0</v>
      </c>
      <c r="O67">
        <v>0</v>
      </c>
      <c r="P67" t="s">
        <v>52</v>
      </c>
      <c r="Q67" t="s">
        <v>140</v>
      </c>
      <c r="R67" t="s">
        <v>36</v>
      </c>
      <c r="S67" t="s">
        <v>198</v>
      </c>
      <c r="T67" s="2">
        <v>46074.344548611109</v>
      </c>
      <c r="U67" s="2">
        <v>46074.357314814813</v>
      </c>
      <c r="V67" s="3">
        <v>1.2766203703703703E-2</v>
      </c>
      <c r="W67" t="s">
        <v>60</v>
      </c>
      <c r="X67">
        <v>4</v>
      </c>
      <c r="Y67">
        <v>37</v>
      </c>
      <c r="Z67" s="3">
        <v>4.5023148148148149E-3</v>
      </c>
      <c r="AA67">
        <v>0.11</v>
      </c>
      <c r="AB67" t="s">
        <v>48</v>
      </c>
      <c r="AC67" s="3">
        <v>0.32502314814814814</v>
      </c>
      <c r="AD67" t="s">
        <v>64</v>
      </c>
      <c r="AE67" t="s">
        <v>38</v>
      </c>
      <c r="AF67" t="s">
        <v>39</v>
      </c>
      <c r="AG67" t="s">
        <v>40</v>
      </c>
      <c r="AH67" s="3">
        <v>1.5208333333333332E-2</v>
      </c>
      <c r="AI67" t="s">
        <v>41</v>
      </c>
    </row>
    <row r="68" spans="1:35">
      <c r="A68">
        <v>20885</v>
      </c>
      <c r="B68" t="s">
        <v>289</v>
      </c>
      <c r="C68">
        <v>4175</v>
      </c>
      <c r="D68" t="s">
        <v>195</v>
      </c>
      <c r="E68">
        <v>3874</v>
      </c>
      <c r="F68" t="s">
        <v>211</v>
      </c>
      <c r="G68" s="1">
        <v>46074</v>
      </c>
      <c r="H68" t="s">
        <v>64</v>
      </c>
      <c r="I68" t="s">
        <v>45</v>
      </c>
      <c r="J68" t="s">
        <v>102</v>
      </c>
      <c r="K68" t="s">
        <v>216</v>
      </c>
      <c r="L68">
        <v>101516</v>
      </c>
      <c r="M68">
        <v>0</v>
      </c>
      <c r="N68">
        <v>0</v>
      </c>
      <c r="O68">
        <v>0</v>
      </c>
      <c r="P68" t="s">
        <v>52</v>
      </c>
      <c r="Q68" t="s">
        <v>140</v>
      </c>
      <c r="R68" t="s">
        <v>36</v>
      </c>
      <c r="S68" t="s">
        <v>217</v>
      </c>
      <c r="T68" s="2">
        <v>46074.283333333333</v>
      </c>
      <c r="U68" s="2">
        <v>46074.287372685183</v>
      </c>
      <c r="V68" s="3">
        <v>4.0393518518518521E-3</v>
      </c>
      <c r="W68" t="s">
        <v>60</v>
      </c>
      <c r="X68">
        <v>4</v>
      </c>
      <c r="Y68">
        <v>37</v>
      </c>
      <c r="Z68" s="3">
        <v>4.5023148148148149E-3</v>
      </c>
      <c r="AA68">
        <v>0.11</v>
      </c>
      <c r="AB68" t="s">
        <v>48</v>
      </c>
      <c r="AC68" s="3">
        <v>0.32502314814814814</v>
      </c>
      <c r="AD68" t="s">
        <v>64</v>
      </c>
      <c r="AE68" t="s">
        <v>38</v>
      </c>
      <c r="AF68" t="s">
        <v>39</v>
      </c>
      <c r="AG68" t="s">
        <v>40</v>
      </c>
      <c r="AH68" s="3">
        <v>1.5208333333333332E-2</v>
      </c>
      <c r="AI68" t="s">
        <v>41</v>
      </c>
    </row>
    <row r="69" spans="1:35">
      <c r="A69">
        <v>20885</v>
      </c>
      <c r="B69" t="s">
        <v>289</v>
      </c>
      <c r="C69">
        <v>4175</v>
      </c>
      <c r="D69" t="s">
        <v>195</v>
      </c>
      <c r="E69">
        <v>3874</v>
      </c>
      <c r="F69" t="s">
        <v>211</v>
      </c>
      <c r="G69" s="1">
        <v>46074</v>
      </c>
      <c r="H69" t="s">
        <v>64</v>
      </c>
      <c r="I69" t="s">
        <v>45</v>
      </c>
      <c r="J69" t="s">
        <v>132</v>
      </c>
      <c r="K69" t="s">
        <v>188</v>
      </c>
      <c r="L69">
        <v>100248</v>
      </c>
      <c r="M69">
        <v>0</v>
      </c>
      <c r="N69">
        <v>0</v>
      </c>
      <c r="O69">
        <v>0</v>
      </c>
      <c r="P69" t="s">
        <v>52</v>
      </c>
      <c r="Q69" t="s">
        <v>140</v>
      </c>
      <c r="R69" t="s">
        <v>36</v>
      </c>
      <c r="S69" t="s">
        <v>186</v>
      </c>
      <c r="T69" s="2">
        <v>46074.277881944443</v>
      </c>
      <c r="U69" s="2">
        <v>46074.283275462964</v>
      </c>
      <c r="V69" s="3">
        <v>5.3935185185185188E-3</v>
      </c>
      <c r="W69" t="s">
        <v>60</v>
      </c>
      <c r="X69">
        <v>5</v>
      </c>
      <c r="Y69">
        <v>37</v>
      </c>
      <c r="Z69" s="3">
        <v>5.6249999999999989E-3</v>
      </c>
      <c r="AA69">
        <v>0.14000000000000001</v>
      </c>
      <c r="AB69" t="s">
        <v>48</v>
      </c>
      <c r="AC69" s="3">
        <v>0.32502314814814814</v>
      </c>
      <c r="AD69" t="s">
        <v>64</v>
      </c>
      <c r="AE69" t="s">
        <v>38</v>
      </c>
      <c r="AF69" t="s">
        <v>39</v>
      </c>
      <c r="AG69" t="s">
        <v>40</v>
      </c>
      <c r="AH69" s="3">
        <v>1.5208333333333332E-2</v>
      </c>
      <c r="AI69" t="s">
        <v>41</v>
      </c>
    </row>
    <row r="70" spans="1:35">
      <c r="A70">
        <v>20885</v>
      </c>
      <c r="B70" t="s">
        <v>289</v>
      </c>
      <c r="C70">
        <v>4175</v>
      </c>
      <c r="D70" t="s">
        <v>195</v>
      </c>
      <c r="E70">
        <v>3874</v>
      </c>
      <c r="F70" t="s">
        <v>211</v>
      </c>
      <c r="G70" s="1">
        <v>46074</v>
      </c>
      <c r="H70" t="s">
        <v>64</v>
      </c>
      <c r="I70" t="s">
        <v>45</v>
      </c>
      <c r="J70" t="s">
        <v>102</v>
      </c>
      <c r="K70" t="s">
        <v>216</v>
      </c>
      <c r="L70">
        <v>101513</v>
      </c>
      <c r="M70">
        <v>0</v>
      </c>
      <c r="N70">
        <v>0</v>
      </c>
      <c r="O70">
        <v>0</v>
      </c>
      <c r="P70" t="s">
        <v>52</v>
      </c>
      <c r="Q70" t="s">
        <v>140</v>
      </c>
      <c r="R70" t="s">
        <v>36</v>
      </c>
      <c r="S70" t="s">
        <v>217</v>
      </c>
      <c r="T70" s="2">
        <v>46074.293310185189</v>
      </c>
      <c r="U70" s="2">
        <v>46074.302071759259</v>
      </c>
      <c r="V70" s="3">
        <v>8.7615740740740744E-3</v>
      </c>
      <c r="W70" t="s">
        <v>60</v>
      </c>
      <c r="X70">
        <v>6</v>
      </c>
      <c r="Y70">
        <v>37</v>
      </c>
      <c r="Z70" s="3">
        <v>6.7476851851851856E-3</v>
      </c>
      <c r="AA70">
        <v>0.16</v>
      </c>
      <c r="AB70" t="s">
        <v>48</v>
      </c>
      <c r="AC70" s="3">
        <v>0.32502314814814814</v>
      </c>
      <c r="AD70" t="s">
        <v>64</v>
      </c>
      <c r="AE70" t="s">
        <v>38</v>
      </c>
      <c r="AF70" t="s">
        <v>39</v>
      </c>
      <c r="AG70" t="s">
        <v>40</v>
      </c>
      <c r="AH70" s="3">
        <v>1.5208333333333332E-2</v>
      </c>
      <c r="AI70" t="s">
        <v>41</v>
      </c>
    </row>
    <row r="71" spans="1:35">
      <c r="A71">
        <v>20885</v>
      </c>
      <c r="B71" t="s">
        <v>289</v>
      </c>
      <c r="C71">
        <v>4175</v>
      </c>
      <c r="D71" t="s">
        <v>195</v>
      </c>
      <c r="E71">
        <v>3874</v>
      </c>
      <c r="F71" t="s">
        <v>211</v>
      </c>
      <c r="G71" s="1">
        <v>46074</v>
      </c>
      <c r="H71" t="s">
        <v>64</v>
      </c>
      <c r="I71" t="s">
        <v>45</v>
      </c>
      <c r="J71" t="s">
        <v>132</v>
      </c>
      <c r="K71" t="s">
        <v>206</v>
      </c>
      <c r="L71">
        <v>7330</v>
      </c>
      <c r="M71">
        <v>0</v>
      </c>
      <c r="N71">
        <v>0</v>
      </c>
      <c r="O71">
        <v>0</v>
      </c>
      <c r="P71" t="s">
        <v>52</v>
      </c>
      <c r="Q71" t="s">
        <v>140</v>
      </c>
      <c r="R71" t="s">
        <v>36</v>
      </c>
      <c r="S71" t="s">
        <v>186</v>
      </c>
      <c r="T71" s="2">
        <v>46074.506215277775</v>
      </c>
      <c r="U71" s="2">
        <v>46074.559895833336</v>
      </c>
      <c r="V71" s="3">
        <v>2.8738425925925928E-2</v>
      </c>
      <c r="W71" t="s">
        <v>60</v>
      </c>
      <c r="X71">
        <v>31</v>
      </c>
      <c r="Y71">
        <v>37</v>
      </c>
      <c r="Z71" s="3">
        <v>3.4907407407407408E-2</v>
      </c>
      <c r="AA71">
        <v>0.84</v>
      </c>
      <c r="AB71" t="s">
        <v>48</v>
      </c>
      <c r="AC71" s="3">
        <v>0.32502314814814814</v>
      </c>
      <c r="AD71" t="s">
        <v>64</v>
      </c>
      <c r="AE71" t="s">
        <v>38</v>
      </c>
      <c r="AF71" t="s">
        <v>39</v>
      </c>
      <c r="AG71" t="s">
        <v>40</v>
      </c>
      <c r="AH71" s="3">
        <v>1.5208333333333332E-2</v>
      </c>
      <c r="AI71" t="s">
        <v>41</v>
      </c>
    </row>
    <row r="72" spans="1:35">
      <c r="A72">
        <v>20885</v>
      </c>
      <c r="B72" t="s">
        <v>289</v>
      </c>
      <c r="C72">
        <v>4175</v>
      </c>
      <c r="D72" t="s">
        <v>195</v>
      </c>
      <c r="E72">
        <v>3874</v>
      </c>
      <c r="F72" t="s">
        <v>211</v>
      </c>
      <c r="G72" s="1">
        <v>46074</v>
      </c>
      <c r="H72" t="s">
        <v>64</v>
      </c>
      <c r="I72" t="s">
        <v>45</v>
      </c>
      <c r="J72" t="s">
        <v>102</v>
      </c>
      <c r="K72" t="s">
        <v>197</v>
      </c>
      <c r="L72">
        <v>8647</v>
      </c>
      <c r="M72">
        <v>0</v>
      </c>
      <c r="N72">
        <v>0</v>
      </c>
      <c r="O72">
        <v>0</v>
      </c>
      <c r="P72" t="s">
        <v>52</v>
      </c>
      <c r="Q72" t="s">
        <v>140</v>
      </c>
      <c r="R72" t="s">
        <v>36</v>
      </c>
      <c r="S72" t="s">
        <v>198</v>
      </c>
      <c r="T72" s="2">
        <v>46074.560115740744</v>
      </c>
      <c r="U72" s="2">
        <v>46074.572615740741</v>
      </c>
      <c r="V72" s="3">
        <v>1.2499999999999999E-2</v>
      </c>
      <c r="W72" t="s">
        <v>60</v>
      </c>
      <c r="X72">
        <v>7</v>
      </c>
      <c r="Y72">
        <v>37</v>
      </c>
      <c r="Z72" s="3">
        <v>7.8819444444444432E-3</v>
      </c>
      <c r="AA72">
        <v>0.19</v>
      </c>
      <c r="AB72" t="s">
        <v>48</v>
      </c>
      <c r="AC72" s="3">
        <v>0.32502314814814814</v>
      </c>
      <c r="AD72" t="s">
        <v>64</v>
      </c>
      <c r="AE72" t="s">
        <v>38</v>
      </c>
      <c r="AF72" t="s">
        <v>39</v>
      </c>
      <c r="AG72" t="s">
        <v>40</v>
      </c>
      <c r="AH72" s="3">
        <v>1.5208333333333332E-2</v>
      </c>
      <c r="AI72" t="s">
        <v>41</v>
      </c>
    </row>
    <row r="73" spans="1:35">
      <c r="A73">
        <v>20885</v>
      </c>
      <c r="B73" t="s">
        <v>289</v>
      </c>
      <c r="C73">
        <v>4175</v>
      </c>
      <c r="D73" t="s">
        <v>195</v>
      </c>
      <c r="E73">
        <v>3874</v>
      </c>
      <c r="F73" t="s">
        <v>211</v>
      </c>
      <c r="G73" s="1">
        <v>46074</v>
      </c>
      <c r="H73" t="s">
        <v>64</v>
      </c>
      <c r="I73" t="s">
        <v>45</v>
      </c>
      <c r="J73" t="s">
        <v>102</v>
      </c>
      <c r="K73" t="s">
        <v>103</v>
      </c>
      <c r="L73">
        <v>33016</v>
      </c>
      <c r="M73">
        <v>0</v>
      </c>
      <c r="N73">
        <v>0</v>
      </c>
      <c r="O73">
        <v>0</v>
      </c>
      <c r="P73" t="s">
        <v>52</v>
      </c>
      <c r="Q73" t="s">
        <v>140</v>
      </c>
      <c r="R73" t="s">
        <v>36</v>
      </c>
      <c r="S73" t="s">
        <v>104</v>
      </c>
      <c r="T73" s="2">
        <v>46074.429780092592</v>
      </c>
      <c r="U73" s="2">
        <v>46074.432557870372</v>
      </c>
      <c r="V73" s="3">
        <v>2.7777777777777779E-3</v>
      </c>
      <c r="W73" t="s">
        <v>60</v>
      </c>
      <c r="X73">
        <v>9</v>
      </c>
      <c r="Y73">
        <v>37</v>
      </c>
      <c r="Z73" s="3">
        <v>3.5532407407407405E-3</v>
      </c>
      <c r="AA73">
        <v>0.24</v>
      </c>
      <c r="AB73" t="s">
        <v>48</v>
      </c>
      <c r="AC73" s="3">
        <v>0.32502314814814814</v>
      </c>
      <c r="AD73" t="s">
        <v>64</v>
      </c>
      <c r="AE73" t="s">
        <v>38</v>
      </c>
      <c r="AF73" t="s">
        <v>39</v>
      </c>
      <c r="AG73" t="s">
        <v>40</v>
      </c>
      <c r="AH73" s="3">
        <v>1.5208333333333332E-2</v>
      </c>
      <c r="AI73" t="s">
        <v>41</v>
      </c>
    </row>
    <row r="74" spans="1:35">
      <c r="A74">
        <v>20885</v>
      </c>
      <c r="B74" t="s">
        <v>289</v>
      </c>
      <c r="C74">
        <v>4175</v>
      </c>
      <c r="D74" t="s">
        <v>195</v>
      </c>
      <c r="E74">
        <v>3874</v>
      </c>
      <c r="F74" t="s">
        <v>211</v>
      </c>
      <c r="G74" s="1">
        <v>46074</v>
      </c>
      <c r="H74" t="s">
        <v>64</v>
      </c>
      <c r="I74" t="s">
        <v>45</v>
      </c>
      <c r="J74" t="s">
        <v>158</v>
      </c>
      <c r="K74" t="s">
        <v>213</v>
      </c>
      <c r="L74">
        <v>1400</v>
      </c>
      <c r="M74">
        <v>0</v>
      </c>
      <c r="N74">
        <v>0</v>
      </c>
      <c r="O74">
        <v>0</v>
      </c>
      <c r="P74" t="s">
        <v>52</v>
      </c>
      <c r="Q74" t="s">
        <v>140</v>
      </c>
      <c r="R74" t="s">
        <v>36</v>
      </c>
      <c r="S74" t="s">
        <v>205</v>
      </c>
      <c r="T74" s="2">
        <v>46070.530787037038</v>
      </c>
      <c r="U74" s="2">
        <v>46074.272199074076</v>
      </c>
      <c r="V74" s="3">
        <v>4.7557870370370368E-2</v>
      </c>
      <c r="W74" t="s">
        <v>60</v>
      </c>
      <c r="X74">
        <v>30</v>
      </c>
      <c r="Y74">
        <v>37</v>
      </c>
      <c r="Z74" s="3">
        <v>3.3773148148148149E-2</v>
      </c>
      <c r="AA74">
        <v>0.81</v>
      </c>
      <c r="AB74" t="s">
        <v>48</v>
      </c>
      <c r="AC74" s="3">
        <v>0.32502314814814814</v>
      </c>
      <c r="AD74" t="s">
        <v>64</v>
      </c>
      <c r="AE74" t="s">
        <v>38</v>
      </c>
      <c r="AF74" t="s">
        <v>39</v>
      </c>
      <c r="AG74" t="s">
        <v>40</v>
      </c>
      <c r="AH74" s="3">
        <v>1.5208333333333332E-2</v>
      </c>
      <c r="AI74" t="s">
        <v>41</v>
      </c>
    </row>
    <row r="75" spans="1:35">
      <c r="A75">
        <v>20885</v>
      </c>
      <c r="B75" t="s">
        <v>289</v>
      </c>
      <c r="C75">
        <v>4175</v>
      </c>
      <c r="D75" t="s">
        <v>195</v>
      </c>
      <c r="E75">
        <v>3874</v>
      </c>
      <c r="F75" t="s">
        <v>211</v>
      </c>
      <c r="G75" s="1">
        <v>46074</v>
      </c>
      <c r="H75" t="s">
        <v>64</v>
      </c>
      <c r="I75" t="s">
        <v>45</v>
      </c>
      <c r="J75" t="s">
        <v>102</v>
      </c>
      <c r="K75" t="s">
        <v>103</v>
      </c>
      <c r="L75">
        <v>33022</v>
      </c>
      <c r="M75">
        <v>0</v>
      </c>
      <c r="N75">
        <v>0</v>
      </c>
      <c r="O75">
        <v>0</v>
      </c>
      <c r="P75" t="s">
        <v>52</v>
      </c>
      <c r="Q75" t="s">
        <v>140</v>
      </c>
      <c r="R75" t="s">
        <v>36</v>
      </c>
      <c r="S75" t="s">
        <v>104</v>
      </c>
      <c r="T75" s="2">
        <v>46074.315451388888</v>
      </c>
      <c r="U75" s="2">
        <v>46074.34447916667</v>
      </c>
      <c r="V75" s="3">
        <v>2.9027777777777777E-2</v>
      </c>
      <c r="W75" t="s">
        <v>60</v>
      </c>
      <c r="X75">
        <v>36</v>
      </c>
      <c r="Y75">
        <v>37</v>
      </c>
      <c r="Z75" s="3">
        <v>4.0532407407407406E-2</v>
      </c>
      <c r="AA75">
        <v>0.97</v>
      </c>
      <c r="AB75" t="s">
        <v>48</v>
      </c>
      <c r="AC75" s="3">
        <v>0.32502314814814814</v>
      </c>
      <c r="AD75" t="s">
        <v>64</v>
      </c>
      <c r="AE75" t="s">
        <v>38</v>
      </c>
      <c r="AF75" t="s">
        <v>39</v>
      </c>
      <c r="AG75" t="s">
        <v>40</v>
      </c>
      <c r="AH75" s="3">
        <v>1.5208333333333332E-2</v>
      </c>
      <c r="AI75" t="s">
        <v>41</v>
      </c>
    </row>
    <row r="76" spans="1:35">
      <c r="A76">
        <v>20885</v>
      </c>
      <c r="B76" t="s">
        <v>289</v>
      </c>
      <c r="C76">
        <v>4175</v>
      </c>
      <c r="D76" t="s">
        <v>195</v>
      </c>
      <c r="E76">
        <v>3874</v>
      </c>
      <c r="F76" t="s">
        <v>211</v>
      </c>
      <c r="G76" s="1">
        <v>46074</v>
      </c>
      <c r="H76" t="s">
        <v>64</v>
      </c>
      <c r="I76" t="s">
        <v>45</v>
      </c>
      <c r="J76" t="s">
        <v>102</v>
      </c>
      <c r="K76" t="s">
        <v>216</v>
      </c>
      <c r="L76">
        <v>101514</v>
      </c>
      <c r="M76">
        <v>0</v>
      </c>
      <c r="N76">
        <v>0</v>
      </c>
      <c r="O76">
        <v>0</v>
      </c>
      <c r="P76" t="s">
        <v>52</v>
      </c>
      <c r="Q76" t="s">
        <v>140</v>
      </c>
      <c r="R76" t="s">
        <v>36</v>
      </c>
      <c r="S76" t="s">
        <v>217</v>
      </c>
      <c r="T76" s="2">
        <v>46074.433611111112</v>
      </c>
      <c r="U76" s="2">
        <v>46074.446423611109</v>
      </c>
      <c r="V76" s="3">
        <v>1.2812499999999999E-2</v>
      </c>
      <c r="W76" t="s">
        <v>60</v>
      </c>
      <c r="X76">
        <v>36</v>
      </c>
      <c r="Y76">
        <v>37</v>
      </c>
      <c r="Z76" s="3">
        <v>4.0532407407407406E-2</v>
      </c>
      <c r="AA76">
        <v>0.97</v>
      </c>
      <c r="AB76" t="s">
        <v>48</v>
      </c>
      <c r="AC76" s="3">
        <v>0.32502314814814814</v>
      </c>
      <c r="AD76" t="s">
        <v>64</v>
      </c>
      <c r="AE76" t="s">
        <v>38</v>
      </c>
      <c r="AF76" t="s">
        <v>39</v>
      </c>
      <c r="AG76" t="s">
        <v>40</v>
      </c>
      <c r="AH76" s="3">
        <v>1.5208333333333332E-2</v>
      </c>
      <c r="AI76" t="s">
        <v>41</v>
      </c>
    </row>
    <row r="77" spans="1:35">
      <c r="A77">
        <v>20885</v>
      </c>
      <c r="B77" t="s">
        <v>289</v>
      </c>
      <c r="C77">
        <v>4175</v>
      </c>
      <c r="D77" t="s">
        <v>195</v>
      </c>
      <c r="E77">
        <v>3874</v>
      </c>
      <c r="F77" t="s">
        <v>211</v>
      </c>
      <c r="G77" s="1">
        <v>46074</v>
      </c>
      <c r="H77" t="s">
        <v>64</v>
      </c>
      <c r="I77" t="s">
        <v>45</v>
      </c>
      <c r="J77" t="s">
        <v>102</v>
      </c>
      <c r="K77" t="s">
        <v>103</v>
      </c>
      <c r="L77">
        <v>33019</v>
      </c>
      <c r="M77">
        <v>0</v>
      </c>
      <c r="N77">
        <v>0</v>
      </c>
      <c r="O77">
        <v>0</v>
      </c>
      <c r="P77" t="s">
        <v>52</v>
      </c>
      <c r="Q77" t="s">
        <v>140</v>
      </c>
      <c r="R77" t="s">
        <v>36</v>
      </c>
      <c r="S77" t="s">
        <v>104</v>
      </c>
      <c r="T77" s="2">
        <v>46074.446655092594</v>
      </c>
      <c r="U77" s="2">
        <v>46074.468182870369</v>
      </c>
      <c r="V77" s="3">
        <v>2.1527777777777781E-2</v>
      </c>
      <c r="W77" t="s">
        <v>60</v>
      </c>
      <c r="X77">
        <v>52</v>
      </c>
      <c r="Y77">
        <v>37</v>
      </c>
      <c r="Z77" s="3">
        <v>5.8553240740740746E-2</v>
      </c>
      <c r="AA77">
        <v>1.41</v>
      </c>
      <c r="AB77" t="s">
        <v>48</v>
      </c>
      <c r="AC77" s="3">
        <v>0.32502314814814814</v>
      </c>
      <c r="AD77" t="s">
        <v>64</v>
      </c>
      <c r="AE77" t="s">
        <v>38</v>
      </c>
      <c r="AF77" t="s">
        <v>39</v>
      </c>
      <c r="AG77" t="s">
        <v>40</v>
      </c>
      <c r="AH77" s="3">
        <v>1.5208333333333332E-2</v>
      </c>
      <c r="AI77" t="s">
        <v>41</v>
      </c>
    </row>
    <row r="78" spans="1:35">
      <c r="A78">
        <v>20885</v>
      </c>
      <c r="B78" t="s">
        <v>289</v>
      </c>
      <c r="C78">
        <v>4175</v>
      </c>
      <c r="D78" t="s">
        <v>195</v>
      </c>
      <c r="E78">
        <v>3874</v>
      </c>
      <c r="F78" t="s">
        <v>211</v>
      </c>
      <c r="G78" s="1">
        <v>46074</v>
      </c>
      <c r="H78" t="s">
        <v>64</v>
      </c>
      <c r="I78" t="s">
        <v>45</v>
      </c>
      <c r="J78" t="s">
        <v>132</v>
      </c>
      <c r="K78" t="s">
        <v>138</v>
      </c>
      <c r="L78">
        <v>105760</v>
      </c>
      <c r="M78">
        <v>0</v>
      </c>
      <c r="N78">
        <v>0</v>
      </c>
      <c r="O78">
        <v>0</v>
      </c>
      <c r="P78" t="s">
        <v>125</v>
      </c>
      <c r="Q78" t="s">
        <v>45</v>
      </c>
      <c r="R78" t="s">
        <v>36</v>
      </c>
      <c r="S78" t="s">
        <v>139</v>
      </c>
      <c r="T78" s="2">
        <v>46074.51185185185</v>
      </c>
      <c r="U78" s="2">
        <v>46074.520844907405</v>
      </c>
      <c r="V78" s="3">
        <v>8.9930555555555545E-3</v>
      </c>
      <c r="W78" t="s">
        <v>60</v>
      </c>
      <c r="X78">
        <v>2</v>
      </c>
      <c r="Y78">
        <v>20</v>
      </c>
      <c r="Z78" s="3">
        <v>4.1666666666666666E-3</v>
      </c>
      <c r="AA78">
        <v>0.1</v>
      </c>
      <c r="AB78" t="s">
        <v>48</v>
      </c>
      <c r="AC78" s="3">
        <v>0.32502314814814814</v>
      </c>
      <c r="AD78" t="s">
        <v>64</v>
      </c>
      <c r="AE78" t="s">
        <v>38</v>
      </c>
      <c r="AF78" t="s">
        <v>39</v>
      </c>
      <c r="AG78" t="s">
        <v>40</v>
      </c>
      <c r="AH78" s="3">
        <v>1.5208333333333332E-2</v>
      </c>
      <c r="AI78" t="s">
        <v>41</v>
      </c>
    </row>
    <row r="79" spans="1:35">
      <c r="A79">
        <v>20885</v>
      </c>
      <c r="B79" t="s">
        <v>289</v>
      </c>
      <c r="C79">
        <v>4175</v>
      </c>
      <c r="D79" t="s">
        <v>195</v>
      </c>
      <c r="E79">
        <v>3874</v>
      </c>
      <c r="F79" t="s">
        <v>211</v>
      </c>
      <c r="G79" s="1">
        <v>46074</v>
      </c>
      <c r="H79" t="s">
        <v>64</v>
      </c>
      <c r="I79" t="s">
        <v>45</v>
      </c>
      <c r="J79" t="s">
        <v>102</v>
      </c>
      <c r="K79" t="s">
        <v>216</v>
      </c>
      <c r="L79">
        <v>101515</v>
      </c>
      <c r="M79">
        <v>0</v>
      </c>
      <c r="N79">
        <v>0</v>
      </c>
      <c r="O79">
        <v>0</v>
      </c>
      <c r="P79" t="s">
        <v>52</v>
      </c>
      <c r="Q79" t="s">
        <v>140</v>
      </c>
      <c r="R79" t="s">
        <v>36</v>
      </c>
      <c r="S79" t="s">
        <v>217</v>
      </c>
      <c r="T79" s="2">
        <v>46074.487187500003</v>
      </c>
      <c r="U79" s="2">
        <v>46074.491608796299</v>
      </c>
      <c r="V79" s="3">
        <v>4.4212962962962956E-3</v>
      </c>
      <c r="W79" t="s">
        <v>60</v>
      </c>
      <c r="X79">
        <v>3</v>
      </c>
      <c r="Y79">
        <v>37</v>
      </c>
      <c r="Z79" s="3">
        <v>5.4398148148148149E-3</v>
      </c>
      <c r="AA79">
        <v>0.08</v>
      </c>
      <c r="AB79" t="s">
        <v>48</v>
      </c>
      <c r="AC79" s="3">
        <v>0.32502314814814814</v>
      </c>
      <c r="AD79" t="s">
        <v>64</v>
      </c>
      <c r="AE79" t="s">
        <v>38</v>
      </c>
      <c r="AF79" t="s">
        <v>39</v>
      </c>
      <c r="AG79" t="s">
        <v>40</v>
      </c>
      <c r="AH79" s="3">
        <v>1.5208333333333332E-2</v>
      </c>
      <c r="AI79" t="s">
        <v>41</v>
      </c>
    </row>
    <row r="80" spans="1:35">
      <c r="A80">
        <v>20885</v>
      </c>
      <c r="B80" t="s">
        <v>289</v>
      </c>
      <c r="C80">
        <v>4175</v>
      </c>
      <c r="D80" t="s">
        <v>195</v>
      </c>
      <c r="E80">
        <v>3874</v>
      </c>
      <c r="F80" t="s">
        <v>211</v>
      </c>
      <c r="G80" s="1">
        <v>46074</v>
      </c>
      <c r="H80" t="s">
        <v>64</v>
      </c>
      <c r="I80" t="s">
        <v>45</v>
      </c>
      <c r="J80" t="s">
        <v>132</v>
      </c>
      <c r="K80" t="s">
        <v>206</v>
      </c>
      <c r="L80">
        <v>7328</v>
      </c>
      <c r="M80">
        <v>0</v>
      </c>
      <c r="N80">
        <v>0</v>
      </c>
      <c r="O80">
        <v>0</v>
      </c>
      <c r="P80" t="s">
        <v>52</v>
      </c>
      <c r="Q80" t="s">
        <v>140</v>
      </c>
      <c r="R80" t="s">
        <v>36</v>
      </c>
      <c r="S80" t="s">
        <v>186</v>
      </c>
      <c r="T80" s="2">
        <v>46074.468506944446</v>
      </c>
      <c r="U80" s="2">
        <v>46074.505578703705</v>
      </c>
      <c r="V80" s="3">
        <v>3.24537037037037E-2</v>
      </c>
      <c r="W80" t="s">
        <v>60</v>
      </c>
      <c r="X80">
        <v>12</v>
      </c>
      <c r="Y80">
        <v>37</v>
      </c>
      <c r="Z80" s="3">
        <v>1.3506944444444445E-2</v>
      </c>
      <c r="AA80">
        <v>0.32</v>
      </c>
      <c r="AB80" t="s">
        <v>48</v>
      </c>
      <c r="AC80" s="3">
        <v>0.32502314814814814</v>
      </c>
      <c r="AD80" t="s">
        <v>64</v>
      </c>
      <c r="AE80" t="s">
        <v>38</v>
      </c>
      <c r="AF80" t="s">
        <v>39</v>
      </c>
      <c r="AG80" t="s">
        <v>40</v>
      </c>
      <c r="AH80" s="3">
        <v>1.5208333333333332E-2</v>
      </c>
      <c r="AI80" t="s">
        <v>41</v>
      </c>
    </row>
    <row r="81" spans="1:35">
      <c r="A81">
        <v>20885</v>
      </c>
      <c r="B81" t="s">
        <v>289</v>
      </c>
      <c r="C81">
        <v>4175</v>
      </c>
      <c r="D81" t="s">
        <v>195</v>
      </c>
      <c r="E81">
        <v>3874</v>
      </c>
      <c r="F81" t="s">
        <v>211</v>
      </c>
      <c r="G81" s="1">
        <v>46074</v>
      </c>
      <c r="H81" t="s">
        <v>64</v>
      </c>
      <c r="I81" t="s">
        <v>45</v>
      </c>
      <c r="J81" t="s">
        <v>102</v>
      </c>
      <c r="K81" t="s">
        <v>197</v>
      </c>
      <c r="L81">
        <v>8669</v>
      </c>
      <c r="M81">
        <v>0</v>
      </c>
      <c r="N81">
        <v>0</v>
      </c>
      <c r="O81">
        <v>0</v>
      </c>
      <c r="P81" t="s">
        <v>52</v>
      </c>
      <c r="Q81" t="s">
        <v>140</v>
      </c>
      <c r="R81" t="s">
        <v>36</v>
      </c>
      <c r="S81" t="s">
        <v>198</v>
      </c>
      <c r="T81" s="2">
        <v>46074.357372685183</v>
      </c>
      <c r="U81" s="2">
        <v>46074.370659722219</v>
      </c>
      <c r="V81" s="3">
        <v>1.3287037037037036E-2</v>
      </c>
      <c r="W81" t="s">
        <v>60</v>
      </c>
      <c r="X81">
        <v>7</v>
      </c>
      <c r="Y81">
        <v>37</v>
      </c>
      <c r="Z81" s="3">
        <v>7.8819444444444432E-3</v>
      </c>
      <c r="AA81">
        <v>0.19</v>
      </c>
      <c r="AB81" t="s">
        <v>48</v>
      </c>
      <c r="AC81" s="3">
        <v>0.32502314814814814</v>
      </c>
      <c r="AD81" t="s">
        <v>64</v>
      </c>
      <c r="AE81" t="s">
        <v>38</v>
      </c>
      <c r="AF81" t="s">
        <v>39</v>
      </c>
      <c r="AG81" t="s">
        <v>40</v>
      </c>
      <c r="AH81" s="3">
        <v>1.5208333333333332E-2</v>
      </c>
      <c r="AI81" t="s">
        <v>41</v>
      </c>
    </row>
    <row r="82" spans="1:35">
      <c r="A82">
        <v>21151</v>
      </c>
      <c r="B82" t="s">
        <v>249</v>
      </c>
      <c r="C82">
        <v>7634</v>
      </c>
      <c r="D82" t="s">
        <v>210</v>
      </c>
      <c r="E82">
        <v>3874</v>
      </c>
      <c r="F82" t="s">
        <v>211</v>
      </c>
      <c r="G82" s="1">
        <v>46074</v>
      </c>
      <c r="H82" t="s">
        <v>64</v>
      </c>
      <c r="I82" t="s">
        <v>45</v>
      </c>
      <c r="J82" t="s">
        <v>110</v>
      </c>
      <c r="K82" t="s">
        <v>231</v>
      </c>
      <c r="L82">
        <v>100040</v>
      </c>
      <c r="M82">
        <v>0</v>
      </c>
      <c r="N82">
        <v>0</v>
      </c>
      <c r="O82">
        <v>0</v>
      </c>
      <c r="P82" t="s">
        <v>52</v>
      </c>
      <c r="Q82" t="s">
        <v>45</v>
      </c>
      <c r="R82" t="s">
        <v>36</v>
      </c>
      <c r="S82" t="s">
        <v>87</v>
      </c>
      <c r="T82" s="2">
        <v>46074.475069444445</v>
      </c>
      <c r="U82" s="2">
        <v>46074.499189814815</v>
      </c>
      <c r="V82" s="3">
        <v>2.3287037037037037E-2</v>
      </c>
      <c r="W82" t="s">
        <v>60</v>
      </c>
      <c r="X82">
        <v>24</v>
      </c>
      <c r="Y82">
        <v>30</v>
      </c>
      <c r="Z82" s="3">
        <v>3.3333333333333333E-2</v>
      </c>
      <c r="AA82">
        <v>0.8</v>
      </c>
      <c r="AB82" t="s">
        <v>48</v>
      </c>
      <c r="AC82" s="3">
        <v>0.26157407407407407</v>
      </c>
      <c r="AD82" t="s">
        <v>64</v>
      </c>
      <c r="AE82" t="s">
        <v>38</v>
      </c>
      <c r="AF82" t="s">
        <v>39</v>
      </c>
      <c r="AG82" t="s">
        <v>40</v>
      </c>
      <c r="AH82" s="3">
        <v>1.7627314814814814E-2</v>
      </c>
      <c r="AI82" t="s">
        <v>41</v>
      </c>
    </row>
    <row r="83" spans="1:35">
      <c r="A83">
        <v>21151</v>
      </c>
      <c r="B83" t="s">
        <v>249</v>
      </c>
      <c r="C83">
        <v>7634</v>
      </c>
      <c r="D83" t="s">
        <v>210</v>
      </c>
      <c r="E83">
        <v>3874</v>
      </c>
      <c r="F83" t="s">
        <v>211</v>
      </c>
      <c r="G83" s="1">
        <v>46074</v>
      </c>
      <c r="H83" t="s">
        <v>64</v>
      </c>
      <c r="I83" t="s">
        <v>45</v>
      </c>
      <c r="J83" t="s">
        <v>110</v>
      </c>
      <c r="K83" t="s">
        <v>111</v>
      </c>
      <c r="L83">
        <v>100146</v>
      </c>
      <c r="M83">
        <v>0</v>
      </c>
      <c r="N83">
        <v>0</v>
      </c>
      <c r="O83">
        <v>0</v>
      </c>
      <c r="P83" t="s">
        <v>52</v>
      </c>
      <c r="Q83" t="s">
        <v>140</v>
      </c>
      <c r="R83" t="s">
        <v>36</v>
      </c>
      <c r="S83" t="s">
        <v>97</v>
      </c>
      <c r="T83" s="2">
        <v>46074.423842592594</v>
      </c>
      <c r="U83" s="2">
        <v>46074.459224537037</v>
      </c>
      <c r="V83" s="3">
        <v>3.5381944444444445E-2</v>
      </c>
      <c r="W83" t="s">
        <v>60</v>
      </c>
      <c r="X83">
        <v>20</v>
      </c>
      <c r="Y83">
        <v>27</v>
      </c>
      <c r="Z83" s="3">
        <v>3.0856481481481481E-2</v>
      </c>
      <c r="AA83">
        <v>0.74</v>
      </c>
      <c r="AB83" t="s">
        <v>48</v>
      </c>
      <c r="AC83" s="3">
        <v>0.26157407407407407</v>
      </c>
      <c r="AD83" t="s">
        <v>64</v>
      </c>
      <c r="AE83" t="s">
        <v>38</v>
      </c>
      <c r="AF83" t="s">
        <v>39</v>
      </c>
      <c r="AG83" t="s">
        <v>40</v>
      </c>
      <c r="AH83" s="3">
        <v>1.7627314814814814E-2</v>
      </c>
      <c r="AI83" t="s">
        <v>41</v>
      </c>
    </row>
    <row r="84" spans="1:35">
      <c r="A84">
        <v>21151</v>
      </c>
      <c r="B84" t="s">
        <v>249</v>
      </c>
      <c r="C84">
        <v>7634</v>
      </c>
      <c r="D84" t="s">
        <v>210</v>
      </c>
      <c r="E84">
        <v>3874</v>
      </c>
      <c r="F84" t="s">
        <v>211</v>
      </c>
      <c r="G84" s="1">
        <v>46074</v>
      </c>
      <c r="H84" t="s">
        <v>64</v>
      </c>
      <c r="I84" t="s">
        <v>45</v>
      </c>
      <c r="J84" t="s">
        <v>110</v>
      </c>
      <c r="K84" t="s">
        <v>231</v>
      </c>
      <c r="L84">
        <v>100041</v>
      </c>
      <c r="M84">
        <v>0</v>
      </c>
      <c r="N84">
        <v>0</v>
      </c>
      <c r="O84">
        <v>0</v>
      </c>
      <c r="P84" t="s">
        <v>52</v>
      </c>
      <c r="Q84" t="s">
        <v>45</v>
      </c>
      <c r="R84" t="s">
        <v>36</v>
      </c>
      <c r="S84" t="s">
        <v>87</v>
      </c>
      <c r="T84" s="2">
        <v>46074.376157407409</v>
      </c>
      <c r="U84" s="2">
        <v>46074.400451388887</v>
      </c>
      <c r="V84" s="3">
        <v>2.4293981481481482E-2</v>
      </c>
      <c r="W84" t="s">
        <v>60</v>
      </c>
      <c r="X84">
        <v>7</v>
      </c>
      <c r="Y84">
        <v>30</v>
      </c>
      <c r="Z84" s="3">
        <v>9.7222222222222224E-3</v>
      </c>
      <c r="AA84">
        <v>0.23</v>
      </c>
      <c r="AB84" t="s">
        <v>48</v>
      </c>
      <c r="AC84" s="3">
        <v>0.26157407407407407</v>
      </c>
      <c r="AD84" t="s">
        <v>64</v>
      </c>
      <c r="AE84" t="s">
        <v>38</v>
      </c>
      <c r="AF84" t="s">
        <v>39</v>
      </c>
      <c r="AG84" t="s">
        <v>40</v>
      </c>
      <c r="AH84" s="3">
        <v>1.7627314814814814E-2</v>
      </c>
      <c r="AI84" t="s">
        <v>41</v>
      </c>
    </row>
    <row r="85" spans="1:35">
      <c r="A85">
        <v>21151</v>
      </c>
      <c r="B85" t="s">
        <v>249</v>
      </c>
      <c r="C85">
        <v>7634</v>
      </c>
      <c r="D85" t="s">
        <v>210</v>
      </c>
      <c r="E85">
        <v>3874</v>
      </c>
      <c r="F85" t="s">
        <v>211</v>
      </c>
      <c r="G85" s="1">
        <v>46074</v>
      </c>
      <c r="H85" t="s">
        <v>64</v>
      </c>
      <c r="I85" t="s">
        <v>45</v>
      </c>
      <c r="J85" t="s">
        <v>110</v>
      </c>
      <c r="K85" t="s">
        <v>248</v>
      </c>
      <c r="L85">
        <v>100061</v>
      </c>
      <c r="M85">
        <v>0</v>
      </c>
      <c r="N85">
        <v>0</v>
      </c>
      <c r="O85">
        <v>0</v>
      </c>
      <c r="P85" t="s">
        <v>52</v>
      </c>
      <c r="Q85" t="s">
        <v>45</v>
      </c>
      <c r="R85" t="s">
        <v>36</v>
      </c>
      <c r="S85" t="s">
        <v>87</v>
      </c>
      <c r="T85" s="2">
        <v>46074.400706018518</v>
      </c>
      <c r="U85" s="2">
        <v>46074.423750000002</v>
      </c>
      <c r="V85" s="3">
        <v>2.3043981481481481E-2</v>
      </c>
      <c r="W85" t="s">
        <v>60</v>
      </c>
      <c r="X85">
        <v>29</v>
      </c>
      <c r="Y85">
        <v>30</v>
      </c>
      <c r="Z85" s="3">
        <v>4.027777777777778E-2</v>
      </c>
      <c r="AA85">
        <v>0.97</v>
      </c>
      <c r="AB85" t="s">
        <v>48</v>
      </c>
      <c r="AC85" s="3">
        <v>0.26157407407407407</v>
      </c>
      <c r="AD85" t="s">
        <v>64</v>
      </c>
      <c r="AE85" t="s">
        <v>38</v>
      </c>
      <c r="AF85" t="s">
        <v>39</v>
      </c>
      <c r="AG85" t="s">
        <v>40</v>
      </c>
      <c r="AH85" s="3">
        <v>1.7627314814814814E-2</v>
      </c>
      <c r="AI85" t="s">
        <v>41</v>
      </c>
    </row>
    <row r="86" spans="1:35">
      <c r="A86">
        <v>21151</v>
      </c>
      <c r="B86" t="s">
        <v>249</v>
      </c>
      <c r="C86">
        <v>7634</v>
      </c>
      <c r="D86" t="s">
        <v>210</v>
      </c>
      <c r="E86">
        <v>3874</v>
      </c>
      <c r="F86" t="s">
        <v>211</v>
      </c>
      <c r="G86" s="1">
        <v>46074</v>
      </c>
      <c r="H86" t="s">
        <v>64</v>
      </c>
      <c r="I86" t="s">
        <v>45</v>
      </c>
      <c r="J86" t="s">
        <v>110</v>
      </c>
      <c r="K86" t="s">
        <v>114</v>
      </c>
      <c r="L86">
        <v>3888</v>
      </c>
      <c r="M86">
        <v>0</v>
      </c>
      <c r="N86">
        <v>0</v>
      </c>
      <c r="O86">
        <v>0</v>
      </c>
      <c r="P86" t="s">
        <v>52</v>
      </c>
      <c r="Q86" t="s">
        <v>140</v>
      </c>
      <c r="R86" t="s">
        <v>36</v>
      </c>
      <c r="S86" t="s">
        <v>97</v>
      </c>
      <c r="T86" s="2">
        <v>46074.300393518519</v>
      </c>
      <c r="U86" s="2">
        <v>46074.37605324074</v>
      </c>
      <c r="V86" s="3">
        <v>5.7129629629629634E-2</v>
      </c>
      <c r="W86" t="s">
        <v>60</v>
      </c>
      <c r="X86">
        <v>28</v>
      </c>
      <c r="Y86">
        <v>27</v>
      </c>
      <c r="Z86" s="3">
        <v>4.3206018518518519E-2</v>
      </c>
      <c r="AA86">
        <v>1.04</v>
      </c>
      <c r="AB86" t="s">
        <v>48</v>
      </c>
      <c r="AC86" s="3">
        <v>0.26157407407407407</v>
      </c>
      <c r="AD86" t="s">
        <v>64</v>
      </c>
      <c r="AE86" t="s">
        <v>38</v>
      </c>
      <c r="AF86" t="s">
        <v>39</v>
      </c>
      <c r="AG86" t="s">
        <v>40</v>
      </c>
      <c r="AH86" s="3">
        <v>1.7627314814814814E-2</v>
      </c>
      <c r="AI86" t="s">
        <v>41</v>
      </c>
    </row>
    <row r="87" spans="1:35">
      <c r="A87">
        <v>21151</v>
      </c>
      <c r="B87" t="s">
        <v>249</v>
      </c>
      <c r="C87">
        <v>7634</v>
      </c>
      <c r="D87" t="s">
        <v>210</v>
      </c>
      <c r="E87">
        <v>3874</v>
      </c>
      <c r="F87" t="s">
        <v>211</v>
      </c>
      <c r="G87" s="1">
        <v>46074</v>
      </c>
      <c r="H87" t="s">
        <v>64</v>
      </c>
      <c r="I87" t="s">
        <v>45</v>
      </c>
      <c r="J87" t="s">
        <v>110</v>
      </c>
      <c r="K87" t="s">
        <v>114</v>
      </c>
      <c r="L87">
        <v>3892</v>
      </c>
      <c r="M87">
        <v>0</v>
      </c>
      <c r="N87">
        <v>0</v>
      </c>
      <c r="O87">
        <v>0</v>
      </c>
      <c r="P87" t="s">
        <v>52</v>
      </c>
      <c r="Q87" t="s">
        <v>140</v>
      </c>
      <c r="R87" t="s">
        <v>36</v>
      </c>
      <c r="S87" t="s">
        <v>97</v>
      </c>
      <c r="T87" s="2">
        <v>46074.56559027778</v>
      </c>
      <c r="U87" s="2">
        <v>46074.576006944444</v>
      </c>
      <c r="V87" s="3">
        <v>1.0416666666666666E-2</v>
      </c>
      <c r="W87" t="s">
        <v>60</v>
      </c>
      <c r="X87">
        <v>7</v>
      </c>
      <c r="Y87">
        <v>27</v>
      </c>
      <c r="Z87" s="3">
        <v>1.0798611111111111E-2</v>
      </c>
      <c r="AA87">
        <v>0.26</v>
      </c>
      <c r="AB87" t="s">
        <v>48</v>
      </c>
      <c r="AC87" s="3">
        <v>0.26157407407407407</v>
      </c>
      <c r="AD87" t="s">
        <v>64</v>
      </c>
      <c r="AE87" t="s">
        <v>38</v>
      </c>
      <c r="AF87" t="s">
        <v>39</v>
      </c>
      <c r="AG87" t="s">
        <v>40</v>
      </c>
      <c r="AH87" s="3">
        <v>1.7627314814814814E-2</v>
      </c>
      <c r="AI87" t="s">
        <v>41</v>
      </c>
    </row>
    <row r="88" spans="1:35">
      <c r="A88">
        <v>21151</v>
      </c>
      <c r="B88" t="s">
        <v>249</v>
      </c>
      <c r="C88">
        <v>7634</v>
      </c>
      <c r="D88" t="s">
        <v>210</v>
      </c>
      <c r="E88">
        <v>3874</v>
      </c>
      <c r="F88" t="s">
        <v>211</v>
      </c>
      <c r="G88" s="1">
        <v>46074</v>
      </c>
      <c r="H88" t="s">
        <v>64</v>
      </c>
      <c r="I88" t="s">
        <v>45</v>
      </c>
      <c r="J88" t="s">
        <v>110</v>
      </c>
      <c r="K88" t="s">
        <v>112</v>
      </c>
      <c r="L88">
        <v>3964</v>
      </c>
      <c r="M88">
        <v>0</v>
      </c>
      <c r="N88">
        <v>0</v>
      </c>
      <c r="O88">
        <v>0</v>
      </c>
      <c r="P88" t="s">
        <v>52</v>
      </c>
      <c r="Q88" t="s">
        <v>140</v>
      </c>
      <c r="R88" t="s">
        <v>36</v>
      </c>
      <c r="S88" t="s">
        <v>113</v>
      </c>
      <c r="T88" s="2">
        <v>46074.499803240738</v>
      </c>
      <c r="U88" s="2">
        <v>46074.527245370373</v>
      </c>
      <c r="V88" s="3">
        <v>2.7442129629629632E-2</v>
      </c>
      <c r="W88" t="s">
        <v>60</v>
      </c>
      <c r="X88">
        <v>30</v>
      </c>
      <c r="Y88">
        <v>37</v>
      </c>
      <c r="Z88" s="3">
        <v>3.3773148148148149E-2</v>
      </c>
      <c r="AA88">
        <v>0.81</v>
      </c>
      <c r="AB88" t="s">
        <v>48</v>
      </c>
      <c r="AC88" s="3">
        <v>0.26157407407407407</v>
      </c>
      <c r="AD88" t="s">
        <v>64</v>
      </c>
      <c r="AE88" t="s">
        <v>38</v>
      </c>
      <c r="AF88" t="s">
        <v>39</v>
      </c>
      <c r="AG88" t="s">
        <v>40</v>
      </c>
      <c r="AH88" s="3">
        <v>1.7627314814814814E-2</v>
      </c>
      <c r="AI88" t="s">
        <v>41</v>
      </c>
    </row>
    <row r="89" spans="1:35">
      <c r="A89">
        <v>21151</v>
      </c>
      <c r="B89" t="s">
        <v>249</v>
      </c>
      <c r="C89">
        <v>7634</v>
      </c>
      <c r="D89" t="s">
        <v>210</v>
      </c>
      <c r="E89">
        <v>3874</v>
      </c>
      <c r="F89" t="s">
        <v>211</v>
      </c>
      <c r="G89" s="1">
        <v>46074</v>
      </c>
      <c r="H89" t="s">
        <v>64</v>
      </c>
      <c r="I89" t="s">
        <v>45</v>
      </c>
      <c r="J89" t="s">
        <v>110</v>
      </c>
      <c r="K89" t="s">
        <v>112</v>
      </c>
      <c r="L89">
        <v>3967</v>
      </c>
      <c r="M89">
        <v>0</v>
      </c>
      <c r="N89">
        <v>0</v>
      </c>
      <c r="O89">
        <v>0</v>
      </c>
      <c r="P89" t="s">
        <v>52</v>
      </c>
      <c r="Q89" t="s">
        <v>140</v>
      </c>
      <c r="R89" t="s">
        <v>36</v>
      </c>
      <c r="S89" t="s">
        <v>113</v>
      </c>
      <c r="T89" s="2">
        <v>46074.267152777778</v>
      </c>
      <c r="U89" s="2">
        <v>46074.282083333332</v>
      </c>
      <c r="V89" s="3">
        <v>1.4930555555555556E-2</v>
      </c>
      <c r="W89" t="s">
        <v>60</v>
      </c>
      <c r="X89">
        <v>1</v>
      </c>
      <c r="Y89">
        <v>37</v>
      </c>
      <c r="Z89" s="3">
        <v>1.1226851851851851E-3</v>
      </c>
      <c r="AA89">
        <v>0.03</v>
      </c>
      <c r="AB89" t="s">
        <v>48</v>
      </c>
      <c r="AC89" s="3">
        <v>0.26157407407407407</v>
      </c>
      <c r="AD89" t="s">
        <v>64</v>
      </c>
      <c r="AE89" t="s">
        <v>38</v>
      </c>
      <c r="AF89" t="s">
        <v>39</v>
      </c>
      <c r="AG89" t="s">
        <v>40</v>
      </c>
      <c r="AH89" s="3">
        <v>1.7627314814814814E-2</v>
      </c>
      <c r="AI89" t="s">
        <v>41</v>
      </c>
    </row>
    <row r="90" spans="1:35">
      <c r="A90">
        <v>21151</v>
      </c>
      <c r="B90" t="s">
        <v>249</v>
      </c>
      <c r="C90">
        <v>7634</v>
      </c>
      <c r="D90" t="s">
        <v>210</v>
      </c>
      <c r="E90">
        <v>3874</v>
      </c>
      <c r="F90" t="s">
        <v>211</v>
      </c>
      <c r="G90" s="1">
        <v>46074</v>
      </c>
      <c r="H90" t="s">
        <v>64</v>
      </c>
      <c r="I90" t="s">
        <v>45</v>
      </c>
      <c r="J90" t="s">
        <v>158</v>
      </c>
      <c r="K90" t="s">
        <v>204</v>
      </c>
      <c r="L90">
        <v>2072</v>
      </c>
      <c r="M90">
        <v>37</v>
      </c>
      <c r="N90">
        <v>5</v>
      </c>
      <c r="O90">
        <v>0</v>
      </c>
      <c r="P90" t="s">
        <v>52</v>
      </c>
      <c r="Q90" t="s">
        <v>250</v>
      </c>
      <c r="R90" t="s">
        <v>36</v>
      </c>
      <c r="S90" t="s">
        <v>205</v>
      </c>
      <c r="T90" s="2">
        <v>46074.298391203702</v>
      </c>
      <c r="U90" s="2">
        <v>46074.487013888887</v>
      </c>
      <c r="V90" s="3">
        <v>2.673611111111111E-3</v>
      </c>
      <c r="W90" t="s">
        <v>49</v>
      </c>
      <c r="X90">
        <v>1</v>
      </c>
      <c r="Y90">
        <v>30</v>
      </c>
      <c r="Z90" s="3">
        <v>1.3888888888888889E-3</v>
      </c>
      <c r="AA90">
        <v>0.03</v>
      </c>
      <c r="AB90" t="s">
        <v>48</v>
      </c>
      <c r="AC90" s="3">
        <v>0.26157407407407407</v>
      </c>
      <c r="AD90" t="s">
        <v>64</v>
      </c>
      <c r="AE90" t="s">
        <v>38</v>
      </c>
      <c r="AF90" t="s">
        <v>39</v>
      </c>
      <c r="AG90" t="s">
        <v>40</v>
      </c>
      <c r="AH90" s="3">
        <v>1.7627314814814814E-2</v>
      </c>
      <c r="AI90" t="s">
        <v>41</v>
      </c>
    </row>
    <row r="91" spans="1:35">
      <c r="A91">
        <v>21151</v>
      </c>
      <c r="B91" t="s">
        <v>249</v>
      </c>
      <c r="C91">
        <v>7634</v>
      </c>
      <c r="D91" t="s">
        <v>210</v>
      </c>
      <c r="E91">
        <v>3874</v>
      </c>
      <c r="F91" t="s">
        <v>211</v>
      </c>
      <c r="G91" s="1">
        <v>46074</v>
      </c>
      <c r="H91" t="s">
        <v>64</v>
      </c>
      <c r="I91" t="s">
        <v>45</v>
      </c>
      <c r="J91" t="s">
        <v>110</v>
      </c>
      <c r="K91" t="s">
        <v>114</v>
      </c>
      <c r="L91">
        <v>3797</v>
      </c>
      <c r="M91">
        <v>0</v>
      </c>
      <c r="N91">
        <v>0</v>
      </c>
      <c r="O91">
        <v>0</v>
      </c>
      <c r="P91" t="s">
        <v>52</v>
      </c>
      <c r="Q91" t="s">
        <v>140</v>
      </c>
      <c r="R91" t="s">
        <v>36</v>
      </c>
      <c r="S91" t="s">
        <v>97</v>
      </c>
      <c r="T91" s="2">
        <v>46074.282604166663</v>
      </c>
      <c r="U91" s="2">
        <v>46074.298194444447</v>
      </c>
      <c r="V91" s="3">
        <v>1.5590277777777778E-2</v>
      </c>
      <c r="W91" t="s">
        <v>60</v>
      </c>
      <c r="X91">
        <v>37</v>
      </c>
      <c r="Y91">
        <v>27</v>
      </c>
      <c r="Z91" s="3">
        <v>5.7094907407407407E-2</v>
      </c>
      <c r="AA91">
        <v>1.37</v>
      </c>
      <c r="AB91" t="s">
        <v>48</v>
      </c>
      <c r="AC91" s="3">
        <v>0.26157407407407407</v>
      </c>
      <c r="AD91" t="s">
        <v>64</v>
      </c>
      <c r="AE91" t="s">
        <v>38</v>
      </c>
      <c r="AF91" t="s">
        <v>39</v>
      </c>
      <c r="AG91" t="s">
        <v>40</v>
      </c>
      <c r="AH91" s="3">
        <v>1.7627314814814814E-2</v>
      </c>
      <c r="AI91" t="s">
        <v>41</v>
      </c>
    </row>
    <row r="92" spans="1:35">
      <c r="A92">
        <v>22279</v>
      </c>
      <c r="B92" t="s">
        <v>290</v>
      </c>
      <c r="C92">
        <v>7634</v>
      </c>
      <c r="D92" t="s">
        <v>210</v>
      </c>
      <c r="E92">
        <v>3874</v>
      </c>
      <c r="F92" t="s">
        <v>211</v>
      </c>
      <c r="G92" s="1">
        <v>46074</v>
      </c>
      <c r="H92" t="s">
        <v>64</v>
      </c>
      <c r="I92" t="s">
        <v>45</v>
      </c>
      <c r="J92" t="s">
        <v>102</v>
      </c>
      <c r="K92" t="s">
        <v>143</v>
      </c>
      <c r="L92">
        <v>102663</v>
      </c>
      <c r="M92">
        <v>0</v>
      </c>
      <c r="N92">
        <v>0</v>
      </c>
      <c r="O92">
        <v>0</v>
      </c>
      <c r="P92" t="s">
        <v>99</v>
      </c>
      <c r="Q92" t="s">
        <v>223</v>
      </c>
      <c r="R92" t="s">
        <v>36</v>
      </c>
      <c r="S92" t="s">
        <v>144</v>
      </c>
      <c r="T92" s="2">
        <v>46074.509236111109</v>
      </c>
      <c r="U92" s="2">
        <v>46074.525243055556</v>
      </c>
      <c r="V92" s="3">
        <v>1.6006944444444445E-2</v>
      </c>
      <c r="W92" t="s">
        <v>49</v>
      </c>
      <c r="X92">
        <v>1</v>
      </c>
      <c r="Y92">
        <v>2</v>
      </c>
      <c r="Z92" s="3">
        <v>2.0833333333333332E-2</v>
      </c>
      <c r="AA92">
        <v>0.5</v>
      </c>
      <c r="AB92" t="s">
        <v>48</v>
      </c>
      <c r="AC92" s="3">
        <v>0.28055555555555556</v>
      </c>
      <c r="AD92" t="s">
        <v>64</v>
      </c>
      <c r="AE92" t="s">
        <v>38</v>
      </c>
      <c r="AF92" t="s">
        <v>39</v>
      </c>
      <c r="AG92" t="s">
        <v>40</v>
      </c>
      <c r="AH92" s="3">
        <v>1.7384259259259262E-2</v>
      </c>
      <c r="AI92" t="s">
        <v>44</v>
      </c>
    </row>
    <row r="93" spans="1:35">
      <c r="A93">
        <v>22279</v>
      </c>
      <c r="B93" t="s">
        <v>290</v>
      </c>
      <c r="C93">
        <v>7634</v>
      </c>
      <c r="D93" t="s">
        <v>210</v>
      </c>
      <c r="E93">
        <v>3874</v>
      </c>
      <c r="F93" t="s">
        <v>211</v>
      </c>
      <c r="G93" s="1">
        <v>46074</v>
      </c>
      <c r="H93" t="s">
        <v>64</v>
      </c>
      <c r="I93" t="s">
        <v>45</v>
      </c>
      <c r="J93" t="s">
        <v>59</v>
      </c>
      <c r="K93" t="s">
        <v>68</v>
      </c>
      <c r="L93">
        <v>20936</v>
      </c>
      <c r="M93">
        <v>0</v>
      </c>
      <c r="N93">
        <v>0</v>
      </c>
      <c r="O93">
        <v>0</v>
      </c>
      <c r="P93" t="s">
        <v>99</v>
      </c>
      <c r="Q93" t="s">
        <v>224</v>
      </c>
      <c r="R93" t="s">
        <v>36</v>
      </c>
      <c r="S93" t="s">
        <v>69</v>
      </c>
      <c r="T93" s="2">
        <v>46074.612592592595</v>
      </c>
      <c r="U93" s="2">
        <v>46074.617152777777</v>
      </c>
      <c r="V93" s="3">
        <v>4.5601851851851853E-3</v>
      </c>
      <c r="W93" t="s">
        <v>49</v>
      </c>
      <c r="X93">
        <v>1</v>
      </c>
      <c r="Y93">
        <v>3</v>
      </c>
      <c r="Z93" s="3">
        <v>1.3888888888888888E-2</v>
      </c>
      <c r="AA93">
        <v>0.33</v>
      </c>
      <c r="AB93" t="s">
        <v>48</v>
      </c>
      <c r="AC93" s="3">
        <v>0.28055555555555556</v>
      </c>
      <c r="AD93" t="s">
        <v>64</v>
      </c>
      <c r="AE93" t="s">
        <v>38</v>
      </c>
      <c r="AF93" t="s">
        <v>39</v>
      </c>
      <c r="AG93" t="s">
        <v>40</v>
      </c>
      <c r="AH93" s="3">
        <v>1.7384259259259262E-2</v>
      </c>
      <c r="AI93" t="s">
        <v>44</v>
      </c>
    </row>
    <row r="94" spans="1:35">
      <c r="A94">
        <v>22279</v>
      </c>
      <c r="B94" t="s">
        <v>290</v>
      </c>
      <c r="C94">
        <v>7634</v>
      </c>
      <c r="D94" t="s">
        <v>210</v>
      </c>
      <c r="E94">
        <v>3874</v>
      </c>
      <c r="F94" t="s">
        <v>211</v>
      </c>
      <c r="G94" s="1">
        <v>46074</v>
      </c>
      <c r="H94" t="s">
        <v>64</v>
      </c>
      <c r="I94" t="s">
        <v>45</v>
      </c>
      <c r="J94" t="s">
        <v>102</v>
      </c>
      <c r="K94" t="s">
        <v>143</v>
      </c>
      <c r="L94">
        <v>102663</v>
      </c>
      <c r="M94">
        <v>0</v>
      </c>
      <c r="N94">
        <v>0</v>
      </c>
      <c r="O94">
        <v>0</v>
      </c>
      <c r="P94" t="s">
        <v>52</v>
      </c>
      <c r="Q94" t="s">
        <v>194</v>
      </c>
      <c r="R94" t="s">
        <v>36</v>
      </c>
      <c r="S94" t="s">
        <v>144</v>
      </c>
      <c r="T94" s="2">
        <v>46074.567326388889</v>
      </c>
      <c r="U94" s="2">
        <v>46074.573831018519</v>
      </c>
      <c r="V94" s="3">
        <v>6.5046296296296302E-3</v>
      </c>
      <c r="W94" t="s">
        <v>60</v>
      </c>
      <c r="X94">
        <v>26</v>
      </c>
      <c r="Y94">
        <v>60</v>
      </c>
      <c r="Z94" s="3">
        <v>1.8055555555555557E-2</v>
      </c>
      <c r="AA94">
        <v>0.43</v>
      </c>
      <c r="AB94" t="s">
        <v>48</v>
      </c>
      <c r="AC94" s="3">
        <v>0.28055555555555556</v>
      </c>
      <c r="AD94" t="s">
        <v>64</v>
      </c>
      <c r="AE94" t="s">
        <v>38</v>
      </c>
      <c r="AF94" t="s">
        <v>39</v>
      </c>
      <c r="AG94" t="s">
        <v>40</v>
      </c>
      <c r="AH94" s="3">
        <v>1.7384259259259262E-2</v>
      </c>
      <c r="AI94" t="s">
        <v>44</v>
      </c>
    </row>
    <row r="95" spans="1:35">
      <c r="A95">
        <v>22279</v>
      </c>
      <c r="B95" t="s">
        <v>290</v>
      </c>
      <c r="C95">
        <v>7634</v>
      </c>
      <c r="D95" t="s">
        <v>210</v>
      </c>
      <c r="E95">
        <v>3874</v>
      </c>
      <c r="F95" t="s">
        <v>211</v>
      </c>
      <c r="G95" s="1">
        <v>46074</v>
      </c>
      <c r="H95" t="s">
        <v>64</v>
      </c>
      <c r="I95" t="s">
        <v>45</v>
      </c>
      <c r="J95" t="s">
        <v>59</v>
      </c>
      <c r="K95" t="s">
        <v>68</v>
      </c>
      <c r="L95">
        <v>20938</v>
      </c>
      <c r="M95">
        <v>0</v>
      </c>
      <c r="N95">
        <v>0</v>
      </c>
      <c r="O95">
        <v>0</v>
      </c>
      <c r="P95" t="s">
        <v>99</v>
      </c>
      <c r="Q95" t="s">
        <v>224</v>
      </c>
      <c r="R95" t="s">
        <v>36</v>
      </c>
      <c r="S95" t="s">
        <v>69</v>
      </c>
      <c r="T95" s="2">
        <v>46074.574467592596</v>
      </c>
      <c r="U95" s="2">
        <v>46074.579131944447</v>
      </c>
      <c r="V95" s="3">
        <v>4.6643518518518518E-3</v>
      </c>
      <c r="W95" t="s">
        <v>49</v>
      </c>
      <c r="X95">
        <v>1</v>
      </c>
      <c r="Y95">
        <v>3</v>
      </c>
      <c r="Z95" s="3">
        <v>1.3888888888888888E-2</v>
      </c>
      <c r="AA95">
        <v>0.33</v>
      </c>
      <c r="AB95" t="s">
        <v>48</v>
      </c>
      <c r="AC95" s="3">
        <v>0.28055555555555556</v>
      </c>
      <c r="AD95" t="s">
        <v>64</v>
      </c>
      <c r="AE95" t="s">
        <v>38</v>
      </c>
      <c r="AF95" t="s">
        <v>39</v>
      </c>
      <c r="AG95" t="s">
        <v>40</v>
      </c>
      <c r="AH95" s="3">
        <v>1.7384259259259262E-2</v>
      </c>
      <c r="AI95" t="s">
        <v>44</v>
      </c>
    </row>
    <row r="96" spans="1:35">
      <c r="A96">
        <v>22279</v>
      </c>
      <c r="B96" t="s">
        <v>290</v>
      </c>
      <c r="C96">
        <v>7634</v>
      </c>
      <c r="D96" t="s">
        <v>210</v>
      </c>
      <c r="E96">
        <v>3874</v>
      </c>
      <c r="F96" t="s">
        <v>211</v>
      </c>
      <c r="G96" s="1">
        <v>46074</v>
      </c>
      <c r="H96" t="s">
        <v>64</v>
      </c>
      <c r="I96" t="s">
        <v>45</v>
      </c>
      <c r="J96" t="s">
        <v>85</v>
      </c>
      <c r="K96" t="s">
        <v>232</v>
      </c>
      <c r="L96">
        <v>16679</v>
      </c>
      <c r="M96">
        <v>0</v>
      </c>
      <c r="N96">
        <v>0</v>
      </c>
      <c r="O96">
        <v>0</v>
      </c>
      <c r="P96" t="s">
        <v>99</v>
      </c>
      <c r="Q96" t="s">
        <v>224</v>
      </c>
      <c r="R96" t="s">
        <v>36</v>
      </c>
      <c r="S96" t="s">
        <v>233</v>
      </c>
      <c r="T96" s="2">
        <v>46074.30809027778</v>
      </c>
      <c r="U96" s="2">
        <v>46074.313321759262</v>
      </c>
      <c r="V96" s="3">
        <v>5.2314814814814819E-3</v>
      </c>
      <c r="W96" t="s">
        <v>49</v>
      </c>
      <c r="X96">
        <v>1</v>
      </c>
      <c r="Y96">
        <v>2</v>
      </c>
      <c r="Z96" s="3">
        <v>2.0833333333333332E-2</v>
      </c>
      <c r="AA96">
        <v>0.5</v>
      </c>
      <c r="AB96" t="s">
        <v>48</v>
      </c>
      <c r="AC96" s="3">
        <v>0.28055555555555556</v>
      </c>
      <c r="AD96" t="s">
        <v>64</v>
      </c>
      <c r="AE96" t="s">
        <v>38</v>
      </c>
      <c r="AF96" t="s">
        <v>39</v>
      </c>
      <c r="AG96" t="s">
        <v>40</v>
      </c>
      <c r="AH96" s="3">
        <v>1.7384259259259262E-2</v>
      </c>
      <c r="AI96" t="s">
        <v>44</v>
      </c>
    </row>
    <row r="97" spans="1:35">
      <c r="A97">
        <v>22279</v>
      </c>
      <c r="B97" t="s">
        <v>290</v>
      </c>
      <c r="C97">
        <v>7634</v>
      </c>
      <c r="D97" t="s">
        <v>210</v>
      </c>
      <c r="E97">
        <v>3874</v>
      </c>
      <c r="F97" t="s">
        <v>211</v>
      </c>
      <c r="G97" s="1">
        <v>46074</v>
      </c>
      <c r="H97" t="s">
        <v>64</v>
      </c>
      <c r="I97" t="s">
        <v>45</v>
      </c>
      <c r="J97" t="s">
        <v>59</v>
      </c>
      <c r="K97" t="s">
        <v>68</v>
      </c>
      <c r="L97">
        <v>20937</v>
      </c>
      <c r="M97">
        <v>0</v>
      </c>
      <c r="N97">
        <v>0</v>
      </c>
      <c r="O97">
        <v>0</v>
      </c>
      <c r="P97" t="s">
        <v>52</v>
      </c>
      <c r="Q97" t="s">
        <v>194</v>
      </c>
      <c r="R97" t="s">
        <v>36</v>
      </c>
      <c r="S97" t="s">
        <v>69</v>
      </c>
      <c r="T97" s="2">
        <v>46074.606203703705</v>
      </c>
      <c r="U97" s="2">
        <v>46074.612314814818</v>
      </c>
      <c r="V97" s="3">
        <v>6.1111111111111114E-3</v>
      </c>
      <c r="W97" t="s">
        <v>60</v>
      </c>
      <c r="X97">
        <v>4</v>
      </c>
      <c r="Y97">
        <v>60</v>
      </c>
      <c r="Z97" s="3">
        <v>2.7777777777777779E-3</v>
      </c>
      <c r="AA97">
        <v>7.0000000000000007E-2</v>
      </c>
      <c r="AB97" t="s">
        <v>48</v>
      </c>
      <c r="AC97" s="3">
        <v>0.28055555555555556</v>
      </c>
      <c r="AD97" t="s">
        <v>64</v>
      </c>
      <c r="AE97" t="s">
        <v>38</v>
      </c>
      <c r="AF97" t="s">
        <v>39</v>
      </c>
      <c r="AG97" t="s">
        <v>40</v>
      </c>
      <c r="AH97" s="3">
        <v>1.7384259259259262E-2</v>
      </c>
      <c r="AI97" t="s">
        <v>44</v>
      </c>
    </row>
    <row r="98" spans="1:35">
      <c r="A98">
        <v>22279</v>
      </c>
      <c r="B98" t="s">
        <v>290</v>
      </c>
      <c r="C98">
        <v>7634</v>
      </c>
      <c r="D98" t="s">
        <v>210</v>
      </c>
      <c r="E98">
        <v>3874</v>
      </c>
      <c r="F98" t="s">
        <v>211</v>
      </c>
      <c r="G98" s="1">
        <v>46074</v>
      </c>
      <c r="H98" t="s">
        <v>64</v>
      </c>
      <c r="I98" t="s">
        <v>45</v>
      </c>
      <c r="J98" t="s">
        <v>59</v>
      </c>
      <c r="K98" t="s">
        <v>68</v>
      </c>
      <c r="L98">
        <v>20939</v>
      </c>
      <c r="M98">
        <v>0</v>
      </c>
      <c r="N98">
        <v>0</v>
      </c>
      <c r="O98">
        <v>0</v>
      </c>
      <c r="P98" t="s">
        <v>99</v>
      </c>
      <c r="Q98" t="s">
        <v>224</v>
      </c>
      <c r="R98" t="s">
        <v>36</v>
      </c>
      <c r="S98" t="s">
        <v>69</v>
      </c>
      <c r="T98" s="2">
        <v>46074.445474537039</v>
      </c>
      <c r="U98" s="2">
        <v>46074.456597222219</v>
      </c>
      <c r="V98" s="3">
        <v>1.1122685185185185E-2</v>
      </c>
      <c r="W98" t="s">
        <v>49</v>
      </c>
      <c r="X98">
        <v>1</v>
      </c>
      <c r="Y98">
        <v>3</v>
      </c>
      <c r="Z98" s="3">
        <v>1.3888888888888888E-2</v>
      </c>
      <c r="AA98">
        <v>0.33</v>
      </c>
      <c r="AB98" t="s">
        <v>48</v>
      </c>
      <c r="AC98" s="3">
        <v>0.28055555555555556</v>
      </c>
      <c r="AD98" t="s">
        <v>64</v>
      </c>
      <c r="AE98" t="s">
        <v>38</v>
      </c>
      <c r="AF98" t="s">
        <v>39</v>
      </c>
      <c r="AG98" t="s">
        <v>40</v>
      </c>
      <c r="AH98" s="3">
        <v>1.7384259259259262E-2</v>
      </c>
      <c r="AI98" t="s">
        <v>44</v>
      </c>
    </row>
    <row r="99" spans="1:35">
      <c r="A99">
        <v>22279</v>
      </c>
      <c r="B99" t="s">
        <v>290</v>
      </c>
      <c r="C99">
        <v>7634</v>
      </c>
      <c r="D99" t="s">
        <v>210</v>
      </c>
      <c r="E99">
        <v>3874</v>
      </c>
      <c r="F99" t="s">
        <v>211</v>
      </c>
      <c r="G99" s="1">
        <v>46074</v>
      </c>
      <c r="H99" t="s">
        <v>64</v>
      </c>
      <c r="I99" t="s">
        <v>45</v>
      </c>
      <c r="J99" t="s">
        <v>59</v>
      </c>
      <c r="K99" t="s">
        <v>257</v>
      </c>
      <c r="L99">
        <v>191</v>
      </c>
      <c r="M99">
        <v>0</v>
      </c>
      <c r="N99">
        <v>0</v>
      </c>
      <c r="O99">
        <v>0</v>
      </c>
      <c r="P99" t="s">
        <v>99</v>
      </c>
      <c r="Q99" t="s">
        <v>224</v>
      </c>
      <c r="R99" t="s">
        <v>36</v>
      </c>
      <c r="S99" t="s">
        <v>251</v>
      </c>
      <c r="T99" s="2">
        <v>46074.594409722224</v>
      </c>
      <c r="U99" s="2">
        <v>46074.605833333335</v>
      </c>
      <c r="V99" s="3">
        <v>1.1423611111111112E-2</v>
      </c>
      <c r="W99" t="s">
        <v>49</v>
      </c>
      <c r="X99">
        <v>1</v>
      </c>
      <c r="Y99">
        <v>2</v>
      </c>
      <c r="Z99" s="3">
        <v>2.0833333333333332E-2</v>
      </c>
      <c r="AA99">
        <v>0.5</v>
      </c>
      <c r="AB99" t="s">
        <v>48</v>
      </c>
      <c r="AC99" s="3">
        <v>0.28055555555555556</v>
      </c>
      <c r="AD99" t="s">
        <v>64</v>
      </c>
      <c r="AE99" t="s">
        <v>38</v>
      </c>
      <c r="AF99" t="s">
        <v>39</v>
      </c>
      <c r="AG99" t="s">
        <v>40</v>
      </c>
      <c r="AH99" s="3">
        <v>1.7384259259259262E-2</v>
      </c>
      <c r="AI99" t="s">
        <v>44</v>
      </c>
    </row>
    <row r="100" spans="1:35">
      <c r="A100">
        <v>22279</v>
      </c>
      <c r="B100" t="s">
        <v>290</v>
      </c>
      <c r="C100">
        <v>7634</v>
      </c>
      <c r="D100" t="s">
        <v>210</v>
      </c>
      <c r="E100">
        <v>3874</v>
      </c>
      <c r="F100" t="s">
        <v>211</v>
      </c>
      <c r="G100" s="1">
        <v>46074</v>
      </c>
      <c r="H100" t="s">
        <v>64</v>
      </c>
      <c r="I100" t="s">
        <v>45</v>
      </c>
      <c r="J100" t="s">
        <v>102</v>
      </c>
      <c r="K100" t="s">
        <v>143</v>
      </c>
      <c r="L100">
        <v>102661</v>
      </c>
      <c r="M100">
        <v>0</v>
      </c>
      <c r="N100">
        <v>0</v>
      </c>
      <c r="O100">
        <v>0</v>
      </c>
      <c r="P100" t="s">
        <v>52</v>
      </c>
      <c r="Q100" t="s">
        <v>194</v>
      </c>
      <c r="R100" t="s">
        <v>36</v>
      </c>
      <c r="S100" t="s">
        <v>144</v>
      </c>
      <c r="T100" s="2">
        <v>46074.427777777775</v>
      </c>
      <c r="U100" s="2">
        <v>46074.444953703707</v>
      </c>
      <c r="V100" s="3">
        <v>1.7175925925925924E-2</v>
      </c>
      <c r="W100" t="s">
        <v>60</v>
      </c>
      <c r="X100">
        <v>28</v>
      </c>
      <c r="Y100">
        <v>60</v>
      </c>
      <c r="Z100" s="3">
        <v>1.9444444444444445E-2</v>
      </c>
      <c r="AA100">
        <v>0.47</v>
      </c>
      <c r="AB100" t="s">
        <v>48</v>
      </c>
      <c r="AC100" s="3">
        <v>0.28055555555555556</v>
      </c>
      <c r="AD100" t="s">
        <v>64</v>
      </c>
      <c r="AE100" t="s">
        <v>38</v>
      </c>
      <c r="AF100" t="s">
        <v>39</v>
      </c>
      <c r="AG100" t="s">
        <v>40</v>
      </c>
      <c r="AH100" s="3">
        <v>1.7384259259259262E-2</v>
      </c>
      <c r="AI100" t="s">
        <v>44</v>
      </c>
    </row>
    <row r="101" spans="1:35">
      <c r="A101">
        <v>22279</v>
      </c>
      <c r="B101" t="s">
        <v>290</v>
      </c>
      <c r="C101">
        <v>7634</v>
      </c>
      <c r="D101" t="s">
        <v>210</v>
      </c>
      <c r="E101">
        <v>3874</v>
      </c>
      <c r="F101" t="s">
        <v>211</v>
      </c>
      <c r="G101" s="1">
        <v>46074</v>
      </c>
      <c r="H101" t="s">
        <v>64</v>
      </c>
      <c r="I101" t="s">
        <v>45</v>
      </c>
      <c r="J101" t="s">
        <v>85</v>
      </c>
      <c r="K101" t="s">
        <v>232</v>
      </c>
      <c r="L101">
        <v>16678</v>
      </c>
      <c r="M101">
        <v>0</v>
      </c>
      <c r="N101">
        <v>0</v>
      </c>
      <c r="O101">
        <v>0</v>
      </c>
      <c r="P101" t="s">
        <v>52</v>
      </c>
      <c r="Q101" t="s">
        <v>194</v>
      </c>
      <c r="R101" t="s">
        <v>36</v>
      </c>
      <c r="S101" t="s">
        <v>233</v>
      </c>
      <c r="T101" s="2">
        <v>46074.307743055557</v>
      </c>
      <c r="U101" s="2">
        <v>46074.503993055558</v>
      </c>
      <c r="V101" s="3">
        <v>2.9050925925925928E-2</v>
      </c>
      <c r="W101" t="s">
        <v>60</v>
      </c>
      <c r="X101">
        <v>27</v>
      </c>
      <c r="Y101">
        <v>60</v>
      </c>
      <c r="Z101" s="3">
        <v>1.8749999999999999E-2</v>
      </c>
      <c r="AA101">
        <v>0.45</v>
      </c>
      <c r="AB101" t="s">
        <v>48</v>
      </c>
      <c r="AC101" s="3">
        <v>0.28055555555555556</v>
      </c>
      <c r="AD101" t="s">
        <v>64</v>
      </c>
      <c r="AE101" t="s">
        <v>38</v>
      </c>
      <c r="AF101" t="s">
        <v>39</v>
      </c>
      <c r="AG101" t="s">
        <v>40</v>
      </c>
      <c r="AH101" s="3">
        <v>1.7384259259259262E-2</v>
      </c>
      <c r="AI101" t="s">
        <v>44</v>
      </c>
    </row>
    <row r="102" spans="1:35">
      <c r="A102">
        <v>22279</v>
      </c>
      <c r="B102" t="s">
        <v>290</v>
      </c>
      <c r="C102">
        <v>7634</v>
      </c>
      <c r="D102" t="s">
        <v>210</v>
      </c>
      <c r="E102">
        <v>3874</v>
      </c>
      <c r="F102" t="s">
        <v>211</v>
      </c>
      <c r="G102" s="1">
        <v>46074</v>
      </c>
      <c r="H102" t="s">
        <v>64</v>
      </c>
      <c r="I102" t="s">
        <v>45</v>
      </c>
      <c r="J102" t="s">
        <v>102</v>
      </c>
      <c r="K102" t="s">
        <v>143</v>
      </c>
      <c r="L102">
        <v>102661</v>
      </c>
      <c r="M102">
        <v>0</v>
      </c>
      <c r="N102">
        <v>0</v>
      </c>
      <c r="O102">
        <v>0</v>
      </c>
      <c r="P102" t="s">
        <v>99</v>
      </c>
      <c r="Q102" t="s">
        <v>223</v>
      </c>
      <c r="R102" t="s">
        <v>36</v>
      </c>
      <c r="S102" t="s">
        <v>144</v>
      </c>
      <c r="T102" s="2">
        <v>46074.408888888887</v>
      </c>
      <c r="U102" s="2">
        <v>46074.427557870367</v>
      </c>
      <c r="V102" s="3">
        <v>1.8668981481481481E-2</v>
      </c>
      <c r="W102" t="s">
        <v>49</v>
      </c>
      <c r="X102">
        <v>1</v>
      </c>
      <c r="Y102">
        <v>2</v>
      </c>
      <c r="Z102" s="3">
        <v>2.0833333333333332E-2</v>
      </c>
      <c r="AA102">
        <v>0.5</v>
      </c>
      <c r="AB102" t="s">
        <v>48</v>
      </c>
      <c r="AC102" s="3">
        <v>0.28055555555555556</v>
      </c>
      <c r="AD102" t="s">
        <v>64</v>
      </c>
      <c r="AE102" t="s">
        <v>38</v>
      </c>
      <c r="AF102" t="s">
        <v>39</v>
      </c>
      <c r="AG102" t="s">
        <v>40</v>
      </c>
      <c r="AH102" s="3">
        <v>1.7384259259259262E-2</v>
      </c>
      <c r="AI102" t="s">
        <v>44</v>
      </c>
    </row>
    <row r="103" spans="1:35">
      <c r="A103">
        <v>22279</v>
      </c>
      <c r="B103" t="s">
        <v>290</v>
      </c>
      <c r="C103">
        <v>7634</v>
      </c>
      <c r="D103" t="s">
        <v>210</v>
      </c>
      <c r="E103">
        <v>3874</v>
      </c>
      <c r="F103" t="s">
        <v>211</v>
      </c>
      <c r="G103" s="1">
        <v>46074</v>
      </c>
      <c r="H103" t="s">
        <v>64</v>
      </c>
      <c r="I103" t="s">
        <v>45</v>
      </c>
      <c r="J103" t="s">
        <v>59</v>
      </c>
      <c r="K103" t="s">
        <v>68</v>
      </c>
      <c r="L103">
        <v>20939</v>
      </c>
      <c r="M103">
        <v>0</v>
      </c>
      <c r="N103">
        <v>0</v>
      </c>
      <c r="O103">
        <v>0</v>
      </c>
      <c r="P103" t="s">
        <v>52</v>
      </c>
      <c r="Q103" t="s">
        <v>194</v>
      </c>
      <c r="R103" t="s">
        <v>36</v>
      </c>
      <c r="S103" t="s">
        <v>69</v>
      </c>
      <c r="T103" s="2">
        <v>46074.504664351851</v>
      </c>
      <c r="U103" s="2">
        <v>46074.508680555555</v>
      </c>
      <c r="V103" s="3">
        <v>4.0162037037037033E-3</v>
      </c>
      <c r="W103" t="s">
        <v>60</v>
      </c>
      <c r="X103">
        <v>3</v>
      </c>
      <c r="Y103">
        <v>60</v>
      </c>
      <c r="Z103" s="3">
        <v>2.0833333333333333E-3</v>
      </c>
      <c r="AA103">
        <v>0.05</v>
      </c>
      <c r="AB103" t="s">
        <v>48</v>
      </c>
      <c r="AC103" s="3">
        <v>0.28055555555555556</v>
      </c>
      <c r="AD103" t="s">
        <v>64</v>
      </c>
      <c r="AE103" t="s">
        <v>38</v>
      </c>
      <c r="AF103" t="s">
        <v>39</v>
      </c>
      <c r="AG103" t="s">
        <v>40</v>
      </c>
      <c r="AH103" s="3">
        <v>1.7384259259259262E-2</v>
      </c>
      <c r="AI103" t="s">
        <v>44</v>
      </c>
    </row>
    <row r="104" spans="1:35">
      <c r="A104">
        <v>22279</v>
      </c>
      <c r="B104" t="s">
        <v>290</v>
      </c>
      <c r="C104">
        <v>7634</v>
      </c>
      <c r="D104" t="s">
        <v>210</v>
      </c>
      <c r="E104">
        <v>3874</v>
      </c>
      <c r="F104" t="s">
        <v>211</v>
      </c>
      <c r="G104" s="1">
        <v>46074</v>
      </c>
      <c r="H104" t="s">
        <v>64</v>
      </c>
      <c r="I104" t="s">
        <v>45</v>
      </c>
      <c r="J104" t="s">
        <v>59</v>
      </c>
      <c r="K104" t="s">
        <v>68</v>
      </c>
      <c r="L104">
        <v>20937</v>
      </c>
      <c r="M104">
        <v>0</v>
      </c>
      <c r="N104">
        <v>0</v>
      </c>
      <c r="O104">
        <v>0</v>
      </c>
      <c r="P104" t="s">
        <v>99</v>
      </c>
      <c r="Q104" t="s">
        <v>224</v>
      </c>
      <c r="R104" t="s">
        <v>36</v>
      </c>
      <c r="S104" t="s">
        <v>69</v>
      </c>
      <c r="T104" s="2">
        <v>46074.5859375</v>
      </c>
      <c r="U104" s="2">
        <v>46074.593287037038</v>
      </c>
      <c r="V104" s="3">
        <v>7.3495370370370372E-3</v>
      </c>
      <c r="W104" t="s">
        <v>49</v>
      </c>
      <c r="X104">
        <v>1</v>
      </c>
      <c r="Y104">
        <v>3</v>
      </c>
      <c r="Z104" s="3">
        <v>1.3888888888888888E-2</v>
      </c>
      <c r="AA104">
        <v>0.33</v>
      </c>
      <c r="AB104" t="s">
        <v>48</v>
      </c>
      <c r="AC104" s="3">
        <v>0.28055555555555556</v>
      </c>
      <c r="AD104" t="s">
        <v>64</v>
      </c>
      <c r="AE104" t="s">
        <v>38</v>
      </c>
      <c r="AF104" t="s">
        <v>39</v>
      </c>
      <c r="AG104" t="s">
        <v>40</v>
      </c>
      <c r="AH104" s="3">
        <v>1.7384259259259262E-2</v>
      </c>
      <c r="AI104" t="s">
        <v>44</v>
      </c>
    </row>
    <row r="105" spans="1:35">
      <c r="A105">
        <v>22279</v>
      </c>
      <c r="B105" t="s">
        <v>290</v>
      </c>
      <c r="C105">
        <v>7634</v>
      </c>
      <c r="D105" t="s">
        <v>210</v>
      </c>
      <c r="E105">
        <v>3874</v>
      </c>
      <c r="F105" t="s">
        <v>211</v>
      </c>
      <c r="G105" s="1">
        <v>46074</v>
      </c>
      <c r="H105" t="s">
        <v>64</v>
      </c>
      <c r="I105" t="s">
        <v>45</v>
      </c>
      <c r="J105" t="s">
        <v>102</v>
      </c>
      <c r="K105" t="s">
        <v>143</v>
      </c>
      <c r="L105">
        <v>102665</v>
      </c>
      <c r="M105">
        <v>0</v>
      </c>
      <c r="N105">
        <v>0</v>
      </c>
      <c r="O105">
        <v>0</v>
      </c>
      <c r="P105" t="s">
        <v>99</v>
      </c>
      <c r="Q105" t="s">
        <v>223</v>
      </c>
      <c r="R105" t="s">
        <v>36</v>
      </c>
      <c r="S105" t="s">
        <v>144</v>
      </c>
      <c r="T105" s="2">
        <v>46074.353020833332</v>
      </c>
      <c r="U105" s="2">
        <v>46074.389236111114</v>
      </c>
      <c r="V105" s="3">
        <v>1.7071759259259259E-2</v>
      </c>
      <c r="W105" t="s">
        <v>49</v>
      </c>
      <c r="X105">
        <v>1</v>
      </c>
      <c r="Y105">
        <v>2</v>
      </c>
      <c r="Z105" s="3">
        <v>2.0833333333333332E-2</v>
      </c>
      <c r="AA105">
        <v>0.5</v>
      </c>
      <c r="AB105" t="s">
        <v>48</v>
      </c>
      <c r="AC105" s="3">
        <v>0.28055555555555556</v>
      </c>
      <c r="AD105" t="s">
        <v>64</v>
      </c>
      <c r="AE105" t="s">
        <v>38</v>
      </c>
      <c r="AF105" t="s">
        <v>39</v>
      </c>
      <c r="AG105" t="s">
        <v>40</v>
      </c>
      <c r="AH105" s="3">
        <v>1.7384259259259262E-2</v>
      </c>
      <c r="AI105" t="s">
        <v>44</v>
      </c>
    </row>
    <row r="106" spans="1:35">
      <c r="A106">
        <v>22279</v>
      </c>
      <c r="B106" t="s">
        <v>290</v>
      </c>
      <c r="C106">
        <v>7634</v>
      </c>
      <c r="D106" t="s">
        <v>210</v>
      </c>
      <c r="E106">
        <v>3874</v>
      </c>
      <c r="F106" t="s">
        <v>211</v>
      </c>
      <c r="G106" s="1">
        <v>46074</v>
      </c>
      <c r="H106" t="s">
        <v>64</v>
      </c>
      <c r="I106" t="s">
        <v>45</v>
      </c>
      <c r="J106" t="s">
        <v>59</v>
      </c>
      <c r="K106" t="s">
        <v>68</v>
      </c>
      <c r="L106">
        <v>20938</v>
      </c>
      <c r="M106">
        <v>0</v>
      </c>
      <c r="N106">
        <v>0</v>
      </c>
      <c r="O106">
        <v>0</v>
      </c>
      <c r="P106" t="s">
        <v>52</v>
      </c>
      <c r="Q106" t="s">
        <v>194</v>
      </c>
      <c r="R106" t="s">
        <v>36</v>
      </c>
      <c r="S106" t="s">
        <v>69</v>
      </c>
      <c r="T106" s="2">
        <v>46074.579317129632</v>
      </c>
      <c r="U106" s="2">
        <v>46074.585694444446</v>
      </c>
      <c r="V106" s="3">
        <v>6.3773148148148148E-3</v>
      </c>
      <c r="W106" t="s">
        <v>60</v>
      </c>
      <c r="X106">
        <v>3</v>
      </c>
      <c r="Y106">
        <v>60</v>
      </c>
      <c r="Z106" s="3">
        <v>2.0833333333333333E-3</v>
      </c>
      <c r="AA106">
        <v>0.05</v>
      </c>
      <c r="AB106" t="s">
        <v>48</v>
      </c>
      <c r="AC106" s="3">
        <v>0.28055555555555556</v>
      </c>
      <c r="AD106" t="s">
        <v>64</v>
      </c>
      <c r="AE106" t="s">
        <v>38</v>
      </c>
      <c r="AF106" t="s">
        <v>39</v>
      </c>
      <c r="AG106" t="s">
        <v>40</v>
      </c>
      <c r="AH106" s="3">
        <v>1.7384259259259262E-2</v>
      </c>
      <c r="AI106" t="s">
        <v>44</v>
      </c>
    </row>
    <row r="107" spans="1:35">
      <c r="A107">
        <v>22279</v>
      </c>
      <c r="B107" t="s">
        <v>290</v>
      </c>
      <c r="C107">
        <v>7634</v>
      </c>
      <c r="D107" t="s">
        <v>210</v>
      </c>
      <c r="E107">
        <v>3874</v>
      </c>
      <c r="F107" t="s">
        <v>211</v>
      </c>
      <c r="G107" s="1">
        <v>46074</v>
      </c>
      <c r="H107" t="s">
        <v>64</v>
      </c>
      <c r="I107" t="s">
        <v>45</v>
      </c>
      <c r="J107" t="s">
        <v>102</v>
      </c>
      <c r="K107" t="s">
        <v>143</v>
      </c>
      <c r="L107">
        <v>102665</v>
      </c>
      <c r="M107">
        <v>0</v>
      </c>
      <c r="N107">
        <v>0</v>
      </c>
      <c r="O107">
        <v>0</v>
      </c>
      <c r="P107" t="s">
        <v>52</v>
      </c>
      <c r="Q107" t="s">
        <v>194</v>
      </c>
      <c r="R107" t="s">
        <v>36</v>
      </c>
      <c r="S107" t="s">
        <v>144</v>
      </c>
      <c r="T107" s="2">
        <v>46074.389710648145</v>
      </c>
      <c r="U107" s="2">
        <v>46074.408599537041</v>
      </c>
      <c r="V107" s="3">
        <v>1.8888888888888889E-2</v>
      </c>
      <c r="W107" t="s">
        <v>60</v>
      </c>
      <c r="X107">
        <v>34</v>
      </c>
      <c r="Y107">
        <v>60</v>
      </c>
      <c r="Z107" s="3">
        <v>2.361111111111111E-2</v>
      </c>
      <c r="AA107">
        <v>0.56999999999999995</v>
      </c>
      <c r="AB107" t="s">
        <v>48</v>
      </c>
      <c r="AC107" s="3">
        <v>0.28055555555555556</v>
      </c>
      <c r="AD107" t="s">
        <v>64</v>
      </c>
      <c r="AE107" t="s">
        <v>38</v>
      </c>
      <c r="AF107" t="s">
        <v>39</v>
      </c>
      <c r="AG107" t="s">
        <v>40</v>
      </c>
      <c r="AH107" s="3">
        <v>1.7384259259259262E-2</v>
      </c>
      <c r="AI107" t="s">
        <v>44</v>
      </c>
    </row>
    <row r="108" spans="1:35">
      <c r="A108">
        <v>22279</v>
      </c>
      <c r="B108" t="s">
        <v>290</v>
      </c>
      <c r="C108">
        <v>7634</v>
      </c>
      <c r="D108" t="s">
        <v>210</v>
      </c>
      <c r="E108">
        <v>3874</v>
      </c>
      <c r="F108" t="s">
        <v>211</v>
      </c>
      <c r="G108" s="1">
        <v>46074</v>
      </c>
      <c r="H108" t="s">
        <v>64</v>
      </c>
      <c r="I108" t="s">
        <v>45</v>
      </c>
      <c r="J108" t="s">
        <v>158</v>
      </c>
      <c r="K108" t="s">
        <v>240</v>
      </c>
      <c r="L108">
        <v>102718</v>
      </c>
      <c r="M108">
        <v>0</v>
      </c>
      <c r="N108">
        <v>0</v>
      </c>
      <c r="O108">
        <v>0</v>
      </c>
      <c r="P108" t="s">
        <v>52</v>
      </c>
      <c r="Q108" t="s">
        <v>194</v>
      </c>
      <c r="R108" t="s">
        <v>36</v>
      </c>
      <c r="S108" t="s">
        <v>87</v>
      </c>
      <c r="T108" s="2">
        <v>46074.282812500001</v>
      </c>
      <c r="U108" s="2">
        <v>46074.294791666667</v>
      </c>
      <c r="V108" s="3">
        <v>1.1979166666666666E-2</v>
      </c>
      <c r="W108" t="s">
        <v>60</v>
      </c>
      <c r="X108">
        <v>10</v>
      </c>
      <c r="Y108">
        <v>60</v>
      </c>
      <c r="Z108" s="3">
        <v>6.9444444444444441E-3</v>
      </c>
      <c r="AA108">
        <v>0.17</v>
      </c>
      <c r="AB108" t="s">
        <v>48</v>
      </c>
      <c r="AC108" s="3">
        <v>0.28055555555555556</v>
      </c>
      <c r="AD108" t="s">
        <v>64</v>
      </c>
      <c r="AE108" t="s">
        <v>38</v>
      </c>
      <c r="AF108" t="s">
        <v>39</v>
      </c>
      <c r="AG108" t="s">
        <v>40</v>
      </c>
      <c r="AH108" s="3">
        <v>1.7384259259259262E-2</v>
      </c>
      <c r="AI108" t="s">
        <v>44</v>
      </c>
    </row>
    <row r="109" spans="1:35">
      <c r="A109">
        <v>22279</v>
      </c>
      <c r="B109" t="s">
        <v>290</v>
      </c>
      <c r="C109">
        <v>7634</v>
      </c>
      <c r="D109" t="s">
        <v>210</v>
      </c>
      <c r="E109">
        <v>3874</v>
      </c>
      <c r="F109" t="s">
        <v>211</v>
      </c>
      <c r="G109" s="1">
        <v>46074</v>
      </c>
      <c r="H109" t="s">
        <v>64</v>
      </c>
      <c r="I109" t="s">
        <v>45</v>
      </c>
      <c r="J109" t="s">
        <v>59</v>
      </c>
      <c r="K109" t="s">
        <v>72</v>
      </c>
      <c r="L109">
        <v>101690</v>
      </c>
      <c r="M109">
        <v>0</v>
      </c>
      <c r="N109">
        <v>0</v>
      </c>
      <c r="O109">
        <v>0</v>
      </c>
      <c r="P109" t="s">
        <v>52</v>
      </c>
      <c r="Q109" t="s">
        <v>194</v>
      </c>
      <c r="R109" t="s">
        <v>36</v>
      </c>
      <c r="S109" t="s">
        <v>73</v>
      </c>
      <c r="T109" s="2">
        <v>46074.262233796297</v>
      </c>
      <c r="U109" s="2">
        <v>46074.566967592589</v>
      </c>
      <c r="V109" s="3">
        <v>4.4374999999999998E-2</v>
      </c>
      <c r="W109" t="s">
        <v>60</v>
      </c>
      <c r="X109">
        <v>25</v>
      </c>
      <c r="Y109">
        <v>60</v>
      </c>
      <c r="Z109" s="3">
        <v>1.7361111111111112E-2</v>
      </c>
      <c r="AA109">
        <v>0.42</v>
      </c>
      <c r="AB109" t="s">
        <v>48</v>
      </c>
      <c r="AC109" s="3">
        <v>0.28055555555555556</v>
      </c>
      <c r="AD109" t="s">
        <v>64</v>
      </c>
      <c r="AE109" t="s">
        <v>38</v>
      </c>
      <c r="AF109" t="s">
        <v>39</v>
      </c>
      <c r="AG109" t="s">
        <v>40</v>
      </c>
      <c r="AH109" s="3">
        <v>1.7384259259259262E-2</v>
      </c>
      <c r="AI109" t="s">
        <v>44</v>
      </c>
    </row>
    <row r="110" spans="1:35">
      <c r="A110">
        <v>22279</v>
      </c>
      <c r="B110" t="s">
        <v>290</v>
      </c>
      <c r="C110">
        <v>7634</v>
      </c>
      <c r="D110" t="s">
        <v>210</v>
      </c>
      <c r="E110">
        <v>3874</v>
      </c>
      <c r="F110" t="s">
        <v>211</v>
      </c>
      <c r="G110" s="1">
        <v>46074</v>
      </c>
      <c r="H110" t="s">
        <v>64</v>
      </c>
      <c r="I110" t="s">
        <v>45</v>
      </c>
      <c r="J110" t="s">
        <v>85</v>
      </c>
      <c r="K110" t="s">
        <v>232</v>
      </c>
      <c r="L110">
        <v>16679</v>
      </c>
      <c r="M110">
        <v>0</v>
      </c>
      <c r="N110">
        <v>0</v>
      </c>
      <c r="O110">
        <v>0</v>
      </c>
      <c r="P110" t="s">
        <v>52</v>
      </c>
      <c r="Q110" t="s">
        <v>194</v>
      </c>
      <c r="R110" t="s">
        <v>36</v>
      </c>
      <c r="S110" t="s">
        <v>233</v>
      </c>
      <c r="T110" s="2">
        <v>46074.313530092593</v>
      </c>
      <c r="U110" s="2">
        <v>46074.352337962962</v>
      </c>
      <c r="V110" s="3">
        <v>3.8807870370370375E-2</v>
      </c>
      <c r="W110" t="s">
        <v>60</v>
      </c>
      <c r="X110">
        <v>14</v>
      </c>
      <c r="Y110">
        <v>60</v>
      </c>
      <c r="Z110" s="3">
        <v>9.7222222222222224E-3</v>
      </c>
      <c r="AA110">
        <v>0.23</v>
      </c>
      <c r="AB110" t="s">
        <v>48</v>
      </c>
      <c r="AC110" s="3">
        <v>0.28055555555555556</v>
      </c>
      <c r="AD110" t="s">
        <v>64</v>
      </c>
      <c r="AE110" t="s">
        <v>38</v>
      </c>
      <c r="AF110" t="s">
        <v>39</v>
      </c>
      <c r="AG110" t="s">
        <v>40</v>
      </c>
      <c r="AH110" s="3">
        <v>1.7384259259259262E-2</v>
      </c>
      <c r="AI110" t="s">
        <v>44</v>
      </c>
    </row>
    <row r="111" spans="1:35">
      <c r="A111">
        <v>22326</v>
      </c>
      <c r="B111" t="s">
        <v>291</v>
      </c>
      <c r="C111">
        <v>4175</v>
      </c>
      <c r="D111" t="s">
        <v>195</v>
      </c>
      <c r="E111">
        <v>3874</v>
      </c>
      <c r="F111" t="s">
        <v>211</v>
      </c>
      <c r="G111" s="1">
        <v>46074</v>
      </c>
      <c r="H111" t="s">
        <v>64</v>
      </c>
      <c r="I111" t="s">
        <v>45</v>
      </c>
      <c r="J111" t="s">
        <v>82</v>
      </c>
      <c r="K111" t="s">
        <v>148</v>
      </c>
      <c r="L111">
        <v>101289</v>
      </c>
      <c r="M111">
        <v>0</v>
      </c>
      <c r="N111">
        <v>0</v>
      </c>
      <c r="O111">
        <v>0</v>
      </c>
      <c r="P111" t="s">
        <v>52</v>
      </c>
      <c r="Q111" t="s">
        <v>63</v>
      </c>
      <c r="R111" t="s">
        <v>36</v>
      </c>
      <c r="S111" t="s">
        <v>149</v>
      </c>
      <c r="T111" s="2">
        <v>46074.868171296293</v>
      </c>
      <c r="U111" s="2">
        <v>46074.871249999997</v>
      </c>
      <c r="V111" s="3">
        <v>3.0787037037037037E-3</v>
      </c>
      <c r="W111" t="s">
        <v>49</v>
      </c>
      <c r="X111">
        <v>1</v>
      </c>
      <c r="Y111">
        <v>4</v>
      </c>
      <c r="Z111" s="3">
        <v>1.0416666666666666E-2</v>
      </c>
      <c r="AA111">
        <v>0.25</v>
      </c>
      <c r="AB111" t="s">
        <v>48</v>
      </c>
      <c r="AC111" s="3">
        <v>0.14256944444444444</v>
      </c>
      <c r="AD111" t="s">
        <v>64</v>
      </c>
      <c r="AE111" t="s">
        <v>38</v>
      </c>
      <c r="AF111" t="s">
        <v>46</v>
      </c>
      <c r="AG111" t="s">
        <v>47</v>
      </c>
      <c r="AH111" s="3">
        <v>2.1562499999999998E-2</v>
      </c>
      <c r="AI111" t="s">
        <v>98</v>
      </c>
    </row>
    <row r="112" spans="1:35">
      <c r="A112">
        <v>22326</v>
      </c>
      <c r="B112" t="s">
        <v>291</v>
      </c>
      <c r="C112">
        <v>4175</v>
      </c>
      <c r="D112" t="s">
        <v>195</v>
      </c>
      <c r="E112">
        <v>3874</v>
      </c>
      <c r="F112" t="s">
        <v>211</v>
      </c>
      <c r="G112" s="1">
        <v>46074</v>
      </c>
      <c r="H112" t="s">
        <v>64</v>
      </c>
      <c r="I112" t="s">
        <v>45</v>
      </c>
      <c r="J112" t="s">
        <v>82</v>
      </c>
      <c r="K112" t="s">
        <v>148</v>
      </c>
      <c r="L112">
        <v>101289</v>
      </c>
      <c r="M112">
        <v>0</v>
      </c>
      <c r="N112">
        <v>0</v>
      </c>
      <c r="O112">
        <v>0</v>
      </c>
      <c r="P112" t="s">
        <v>52</v>
      </c>
      <c r="Q112" t="s">
        <v>140</v>
      </c>
      <c r="R112" t="s">
        <v>36</v>
      </c>
      <c r="S112" t="s">
        <v>149</v>
      </c>
      <c r="T112" s="2">
        <v>46074.666967592595</v>
      </c>
      <c r="U112" s="2">
        <v>46074.753483796296</v>
      </c>
      <c r="V112" s="3">
        <v>6.8900462962962969E-2</v>
      </c>
      <c r="W112" t="s">
        <v>60</v>
      </c>
      <c r="X112">
        <v>35</v>
      </c>
      <c r="Y112">
        <v>32</v>
      </c>
      <c r="Z112" s="3">
        <v>4.5567129629629631E-2</v>
      </c>
      <c r="AA112">
        <v>1.0900000000000001</v>
      </c>
      <c r="AB112" t="s">
        <v>48</v>
      </c>
      <c r="AC112" s="3">
        <v>0.14256944444444444</v>
      </c>
      <c r="AD112" t="s">
        <v>64</v>
      </c>
      <c r="AE112" t="s">
        <v>38</v>
      </c>
      <c r="AF112" t="s">
        <v>46</v>
      </c>
      <c r="AG112" t="s">
        <v>47</v>
      </c>
      <c r="AH112" s="3">
        <v>2.1562499999999998E-2</v>
      </c>
      <c r="AI112" t="s">
        <v>98</v>
      </c>
    </row>
    <row r="113" spans="1:35">
      <c r="A113">
        <v>22326</v>
      </c>
      <c r="B113" t="s">
        <v>291</v>
      </c>
      <c r="C113">
        <v>4175</v>
      </c>
      <c r="D113" t="s">
        <v>195</v>
      </c>
      <c r="E113">
        <v>3874</v>
      </c>
      <c r="F113" t="s">
        <v>211</v>
      </c>
      <c r="G113" s="1">
        <v>46074</v>
      </c>
      <c r="H113" t="s">
        <v>64</v>
      </c>
      <c r="I113" t="s">
        <v>45</v>
      </c>
      <c r="J113" t="s">
        <v>82</v>
      </c>
      <c r="K113" t="s">
        <v>187</v>
      </c>
      <c r="L113">
        <v>100252</v>
      </c>
      <c r="M113">
        <v>0</v>
      </c>
      <c r="N113">
        <v>0</v>
      </c>
      <c r="O113">
        <v>0</v>
      </c>
      <c r="P113" t="s">
        <v>52</v>
      </c>
      <c r="Q113" t="s">
        <v>215</v>
      </c>
      <c r="R113" t="s">
        <v>36</v>
      </c>
      <c r="S113" t="s">
        <v>97</v>
      </c>
      <c r="T113" s="2">
        <v>46074.572395833333</v>
      </c>
      <c r="U113" s="2">
        <v>46074.575381944444</v>
      </c>
      <c r="V113" s="3">
        <v>2.9861111111111113E-3</v>
      </c>
      <c r="W113" t="s">
        <v>49</v>
      </c>
      <c r="X113">
        <v>1</v>
      </c>
      <c r="Y113">
        <v>30</v>
      </c>
      <c r="Z113" s="3">
        <v>1.3888888888888889E-3</v>
      </c>
      <c r="AA113">
        <v>0.03</v>
      </c>
      <c r="AB113" t="s">
        <v>48</v>
      </c>
      <c r="AC113" s="3">
        <v>0.14256944444444444</v>
      </c>
      <c r="AD113" t="s">
        <v>64</v>
      </c>
      <c r="AE113" t="s">
        <v>38</v>
      </c>
      <c r="AF113" t="s">
        <v>46</v>
      </c>
      <c r="AG113" t="s">
        <v>47</v>
      </c>
      <c r="AH113" s="3">
        <v>2.1562499999999998E-2</v>
      </c>
      <c r="AI113" t="s">
        <v>98</v>
      </c>
    </row>
    <row r="114" spans="1:35">
      <c r="A114">
        <v>22326</v>
      </c>
      <c r="B114" t="s">
        <v>291</v>
      </c>
      <c r="C114">
        <v>4175</v>
      </c>
      <c r="D114" t="s">
        <v>195</v>
      </c>
      <c r="E114">
        <v>3874</v>
      </c>
      <c r="F114" t="s">
        <v>211</v>
      </c>
      <c r="G114" s="1">
        <v>46074</v>
      </c>
      <c r="H114" t="s">
        <v>64</v>
      </c>
      <c r="I114" t="s">
        <v>45</v>
      </c>
      <c r="J114" t="s">
        <v>82</v>
      </c>
      <c r="K114" t="s">
        <v>218</v>
      </c>
      <c r="L114">
        <v>100345</v>
      </c>
      <c r="M114">
        <v>0</v>
      </c>
      <c r="N114">
        <v>0</v>
      </c>
      <c r="O114">
        <v>0</v>
      </c>
      <c r="P114" t="s">
        <v>52</v>
      </c>
      <c r="Q114" t="s">
        <v>140</v>
      </c>
      <c r="R114" t="s">
        <v>36</v>
      </c>
      <c r="S114" t="s">
        <v>97</v>
      </c>
      <c r="T114" s="2">
        <v>46074.631620370368</v>
      </c>
      <c r="U114" s="2">
        <v>46074.666689814818</v>
      </c>
      <c r="V114" s="3">
        <v>3.5069444444444445E-2</v>
      </c>
      <c r="W114" t="s">
        <v>60</v>
      </c>
      <c r="X114">
        <v>27</v>
      </c>
      <c r="Y114">
        <v>25</v>
      </c>
      <c r="Z114" s="3">
        <v>4.1377314814814818E-2</v>
      </c>
      <c r="AA114">
        <v>1.08</v>
      </c>
      <c r="AB114" t="s">
        <v>48</v>
      </c>
      <c r="AC114" s="3">
        <v>0.14256944444444444</v>
      </c>
      <c r="AD114" t="s">
        <v>64</v>
      </c>
      <c r="AE114" t="s">
        <v>38</v>
      </c>
      <c r="AF114" t="s">
        <v>46</v>
      </c>
      <c r="AG114" t="s">
        <v>47</v>
      </c>
      <c r="AH114" s="3">
        <v>2.1562499999999998E-2</v>
      </c>
      <c r="AI114" t="s">
        <v>98</v>
      </c>
    </row>
    <row r="115" spans="1:35">
      <c r="A115">
        <v>22326</v>
      </c>
      <c r="B115" t="s">
        <v>291</v>
      </c>
      <c r="C115">
        <v>4175</v>
      </c>
      <c r="D115" t="s">
        <v>195</v>
      </c>
      <c r="E115">
        <v>3874</v>
      </c>
      <c r="F115" t="s">
        <v>211</v>
      </c>
      <c r="G115" s="1">
        <v>46074</v>
      </c>
      <c r="H115" t="s">
        <v>64</v>
      </c>
      <c r="I115" t="s">
        <v>45</v>
      </c>
      <c r="J115" t="s">
        <v>82</v>
      </c>
      <c r="K115" t="s">
        <v>95</v>
      </c>
      <c r="L115">
        <v>38224</v>
      </c>
      <c r="M115">
        <v>0</v>
      </c>
      <c r="N115">
        <v>0</v>
      </c>
      <c r="O115">
        <v>0</v>
      </c>
      <c r="P115" t="s">
        <v>52</v>
      </c>
      <c r="Q115" t="s">
        <v>215</v>
      </c>
      <c r="R115" t="s">
        <v>36</v>
      </c>
      <c r="S115" t="s">
        <v>96</v>
      </c>
      <c r="T115" s="2">
        <v>46074.871631944443</v>
      </c>
      <c r="U115" s="2">
        <v>46074.880590277775</v>
      </c>
      <c r="V115" s="3">
        <v>8.9583333333333338E-3</v>
      </c>
      <c r="W115" t="s">
        <v>49</v>
      </c>
      <c r="X115">
        <v>1</v>
      </c>
      <c r="Y115">
        <v>30</v>
      </c>
      <c r="Z115" s="3">
        <v>1.3888888888888889E-3</v>
      </c>
      <c r="AA115">
        <v>0.03</v>
      </c>
      <c r="AB115" t="s">
        <v>48</v>
      </c>
      <c r="AC115" s="3">
        <v>0.14256944444444444</v>
      </c>
      <c r="AD115" t="s">
        <v>64</v>
      </c>
      <c r="AE115" t="s">
        <v>38</v>
      </c>
      <c r="AF115" t="s">
        <v>46</v>
      </c>
      <c r="AG115" t="s">
        <v>47</v>
      </c>
      <c r="AH115" s="3">
        <v>2.1562499999999998E-2</v>
      </c>
      <c r="AI115" t="s">
        <v>98</v>
      </c>
    </row>
    <row r="116" spans="1:35">
      <c r="A116">
        <v>22326</v>
      </c>
      <c r="B116" t="s">
        <v>291</v>
      </c>
      <c r="C116">
        <v>4175</v>
      </c>
      <c r="D116" t="s">
        <v>195</v>
      </c>
      <c r="E116">
        <v>3874</v>
      </c>
      <c r="F116" t="s">
        <v>211</v>
      </c>
      <c r="G116" s="1">
        <v>46074</v>
      </c>
      <c r="H116" t="s">
        <v>64</v>
      </c>
      <c r="I116" t="s">
        <v>45</v>
      </c>
      <c r="J116" t="s">
        <v>82</v>
      </c>
      <c r="K116" t="s">
        <v>220</v>
      </c>
      <c r="L116">
        <v>10721</v>
      </c>
      <c r="M116">
        <v>0</v>
      </c>
      <c r="N116">
        <v>0</v>
      </c>
      <c r="O116">
        <v>0</v>
      </c>
      <c r="P116" t="s">
        <v>52</v>
      </c>
      <c r="Q116" t="s">
        <v>140</v>
      </c>
      <c r="R116" t="s">
        <v>36</v>
      </c>
      <c r="S116" t="s">
        <v>221</v>
      </c>
      <c r="T116" s="2">
        <v>46074.801793981482</v>
      </c>
      <c r="U116" s="2">
        <v>46074.837164351855</v>
      </c>
      <c r="V116" s="3">
        <v>3.5370370370370365E-2</v>
      </c>
      <c r="W116" t="s">
        <v>60</v>
      </c>
      <c r="X116">
        <v>15</v>
      </c>
      <c r="Y116">
        <v>32</v>
      </c>
      <c r="Z116" s="3">
        <v>2.2638888888888889E-2</v>
      </c>
      <c r="AA116">
        <v>0.47</v>
      </c>
      <c r="AB116" t="s">
        <v>48</v>
      </c>
      <c r="AC116" s="3">
        <v>0.14256944444444444</v>
      </c>
      <c r="AD116" t="s">
        <v>64</v>
      </c>
      <c r="AE116" t="s">
        <v>38</v>
      </c>
      <c r="AF116" t="s">
        <v>46</v>
      </c>
      <c r="AG116" t="s">
        <v>47</v>
      </c>
      <c r="AH116" s="3">
        <v>2.1562499999999998E-2</v>
      </c>
      <c r="AI116" t="s">
        <v>98</v>
      </c>
    </row>
    <row r="117" spans="1:35">
      <c r="A117">
        <v>22326</v>
      </c>
      <c r="B117" t="s">
        <v>291</v>
      </c>
      <c r="C117">
        <v>4175</v>
      </c>
      <c r="D117" t="s">
        <v>195</v>
      </c>
      <c r="E117">
        <v>3874</v>
      </c>
      <c r="F117" t="s">
        <v>211</v>
      </c>
      <c r="G117" s="1">
        <v>46074</v>
      </c>
      <c r="H117" t="s">
        <v>64</v>
      </c>
      <c r="I117" t="s">
        <v>45</v>
      </c>
      <c r="J117" t="s">
        <v>82</v>
      </c>
      <c r="K117" t="s">
        <v>83</v>
      </c>
      <c r="L117">
        <v>58559</v>
      </c>
      <c r="M117">
        <v>0</v>
      </c>
      <c r="N117">
        <v>0</v>
      </c>
      <c r="O117">
        <v>0</v>
      </c>
      <c r="P117" t="s">
        <v>52</v>
      </c>
      <c r="Q117" t="s">
        <v>140</v>
      </c>
      <c r="R117" t="s">
        <v>36</v>
      </c>
      <c r="S117" t="s">
        <v>84</v>
      </c>
      <c r="T117" s="2">
        <v>46074.575648148151</v>
      </c>
      <c r="U117" s="2">
        <v>46074.887592592589</v>
      </c>
      <c r="V117" s="3">
        <v>4.0844907407407406E-2</v>
      </c>
      <c r="W117" t="s">
        <v>60</v>
      </c>
      <c r="X117">
        <v>12</v>
      </c>
      <c r="Y117">
        <v>32</v>
      </c>
      <c r="Z117" s="3">
        <v>1.5625E-2</v>
      </c>
      <c r="AA117">
        <v>0.38</v>
      </c>
      <c r="AB117" t="s">
        <v>48</v>
      </c>
      <c r="AC117" s="3">
        <v>0.14256944444444444</v>
      </c>
      <c r="AD117" t="s">
        <v>64</v>
      </c>
      <c r="AE117" t="s">
        <v>38</v>
      </c>
      <c r="AF117" t="s">
        <v>46</v>
      </c>
      <c r="AG117" t="s">
        <v>47</v>
      </c>
      <c r="AH117" s="3">
        <v>2.1562499999999998E-2</v>
      </c>
      <c r="AI117" t="s">
        <v>98</v>
      </c>
    </row>
    <row r="118" spans="1:35">
      <c r="A118">
        <v>22326</v>
      </c>
      <c r="B118" t="s">
        <v>291</v>
      </c>
      <c r="C118">
        <v>4175</v>
      </c>
      <c r="D118" t="s">
        <v>195</v>
      </c>
      <c r="E118">
        <v>3874</v>
      </c>
      <c r="F118" t="s">
        <v>211</v>
      </c>
      <c r="G118" s="1">
        <v>46074</v>
      </c>
      <c r="H118" t="s">
        <v>64</v>
      </c>
      <c r="I118" t="s">
        <v>45</v>
      </c>
      <c r="J118" t="s">
        <v>82</v>
      </c>
      <c r="K118" t="s">
        <v>218</v>
      </c>
      <c r="L118">
        <v>100345</v>
      </c>
      <c r="M118">
        <v>0</v>
      </c>
      <c r="N118">
        <v>0</v>
      </c>
      <c r="O118">
        <v>0</v>
      </c>
      <c r="P118" t="s">
        <v>52</v>
      </c>
      <c r="Q118" t="s">
        <v>63</v>
      </c>
      <c r="R118" t="s">
        <v>36</v>
      </c>
      <c r="S118" t="s">
        <v>97</v>
      </c>
      <c r="T118" s="2">
        <v>46074.860347222224</v>
      </c>
      <c r="U118" s="2">
        <v>46074.867939814816</v>
      </c>
      <c r="V118" s="3">
        <v>7.5925925925925926E-3</v>
      </c>
      <c r="W118" t="s">
        <v>49</v>
      </c>
      <c r="X118">
        <v>1</v>
      </c>
      <c r="Y118">
        <v>10</v>
      </c>
      <c r="Z118" s="3">
        <v>4.1666666666666666E-3</v>
      </c>
      <c r="AA118">
        <v>0.1</v>
      </c>
      <c r="AB118" t="s">
        <v>48</v>
      </c>
      <c r="AC118" s="3">
        <v>0.14256944444444444</v>
      </c>
      <c r="AD118" t="s">
        <v>64</v>
      </c>
      <c r="AE118" t="s">
        <v>38</v>
      </c>
      <c r="AF118" t="s">
        <v>46</v>
      </c>
      <c r="AG118" t="s">
        <v>47</v>
      </c>
      <c r="AH118" s="3">
        <v>2.1562499999999998E-2</v>
      </c>
      <c r="AI118" t="s">
        <v>98</v>
      </c>
    </row>
    <row r="119" spans="1:35">
      <c r="A119">
        <v>22541</v>
      </c>
      <c r="B119" t="s">
        <v>258</v>
      </c>
      <c r="C119">
        <v>3874</v>
      </c>
      <c r="D119" t="s">
        <v>211</v>
      </c>
      <c r="E119">
        <v>3874</v>
      </c>
      <c r="F119" t="s">
        <v>211</v>
      </c>
      <c r="G119" s="1">
        <v>46074</v>
      </c>
      <c r="H119" t="s">
        <v>64</v>
      </c>
      <c r="I119" t="s">
        <v>45</v>
      </c>
      <c r="J119" t="s">
        <v>82</v>
      </c>
      <c r="K119" t="s">
        <v>236</v>
      </c>
      <c r="L119">
        <v>100974</v>
      </c>
      <c r="M119">
        <v>0</v>
      </c>
      <c r="N119">
        <v>0</v>
      </c>
      <c r="O119">
        <v>0</v>
      </c>
      <c r="P119" t="s">
        <v>52</v>
      </c>
      <c r="Q119" t="s">
        <v>63</v>
      </c>
      <c r="R119" t="s">
        <v>36</v>
      </c>
      <c r="S119" t="s">
        <v>117</v>
      </c>
      <c r="T119" s="2">
        <v>46074.486747685187</v>
      </c>
      <c r="U119" s="2">
        <v>46074.50408564815</v>
      </c>
      <c r="V119" s="3">
        <v>1.5902777777777776E-2</v>
      </c>
      <c r="W119" t="s">
        <v>49</v>
      </c>
      <c r="X119">
        <v>1</v>
      </c>
      <c r="Y119">
        <v>12</v>
      </c>
      <c r="Z119" s="3">
        <v>3.472222222222222E-3</v>
      </c>
      <c r="AA119">
        <v>0.08</v>
      </c>
      <c r="AB119" t="s">
        <v>56</v>
      </c>
      <c r="AC119" s="3">
        <v>4.3275462962962967E-2</v>
      </c>
      <c r="AD119" t="s">
        <v>64</v>
      </c>
      <c r="AE119" t="s">
        <v>38</v>
      </c>
      <c r="AF119" t="s">
        <v>54</v>
      </c>
      <c r="AG119" t="s">
        <v>55</v>
      </c>
      <c r="AH119" t="s">
        <v>35</v>
      </c>
      <c r="AI119" t="s">
        <v>41</v>
      </c>
    </row>
    <row r="120" spans="1:35">
      <c r="A120">
        <v>22541</v>
      </c>
      <c r="B120" t="s">
        <v>258</v>
      </c>
      <c r="C120">
        <v>3874</v>
      </c>
      <c r="D120" t="s">
        <v>211</v>
      </c>
      <c r="E120">
        <v>3874</v>
      </c>
      <c r="F120" t="s">
        <v>211</v>
      </c>
      <c r="G120" s="1">
        <v>46074</v>
      </c>
      <c r="H120" t="s">
        <v>64</v>
      </c>
      <c r="I120" t="s">
        <v>45</v>
      </c>
      <c r="J120" t="s">
        <v>82</v>
      </c>
      <c r="K120" t="s">
        <v>167</v>
      </c>
      <c r="L120">
        <v>103625</v>
      </c>
      <c r="M120">
        <v>0</v>
      </c>
      <c r="N120">
        <v>0</v>
      </c>
      <c r="O120">
        <v>0</v>
      </c>
      <c r="P120" t="s">
        <v>52</v>
      </c>
      <c r="Q120" t="s">
        <v>63</v>
      </c>
      <c r="R120" t="s">
        <v>36</v>
      </c>
      <c r="S120" t="s">
        <v>128</v>
      </c>
      <c r="T120" s="2">
        <v>46074.409236111111</v>
      </c>
      <c r="U120" s="2">
        <v>46074.434652777774</v>
      </c>
      <c r="V120" s="3">
        <v>2.5416666666666667E-2</v>
      </c>
      <c r="W120" t="s">
        <v>49</v>
      </c>
      <c r="X120">
        <v>1</v>
      </c>
      <c r="Y120">
        <v>12</v>
      </c>
      <c r="Z120" s="3">
        <v>3.472222222222222E-3</v>
      </c>
      <c r="AA120">
        <v>0.08</v>
      </c>
      <c r="AB120" t="s">
        <v>56</v>
      </c>
      <c r="AC120" s="3">
        <v>4.3275462962962967E-2</v>
      </c>
      <c r="AD120" t="s">
        <v>64</v>
      </c>
      <c r="AE120" t="s">
        <v>38</v>
      </c>
      <c r="AF120" t="s">
        <v>54</v>
      </c>
      <c r="AG120" t="s">
        <v>55</v>
      </c>
      <c r="AH120" t="s">
        <v>35</v>
      </c>
      <c r="AI120" t="s">
        <v>41</v>
      </c>
    </row>
    <row r="121" spans="1:35">
      <c r="A121">
        <v>22541</v>
      </c>
      <c r="B121" t="s">
        <v>258</v>
      </c>
      <c r="C121">
        <v>3874</v>
      </c>
      <c r="D121" t="s">
        <v>211</v>
      </c>
      <c r="E121">
        <v>3874</v>
      </c>
      <c r="F121" t="s">
        <v>211</v>
      </c>
      <c r="G121" s="1">
        <v>46074</v>
      </c>
      <c r="H121" t="s">
        <v>64</v>
      </c>
      <c r="I121" t="s">
        <v>45</v>
      </c>
      <c r="J121" t="s">
        <v>82</v>
      </c>
      <c r="K121" t="s">
        <v>236</v>
      </c>
      <c r="L121">
        <v>100971</v>
      </c>
      <c r="M121">
        <v>0</v>
      </c>
      <c r="N121">
        <v>0</v>
      </c>
      <c r="O121">
        <v>0</v>
      </c>
      <c r="P121" t="s">
        <v>52</v>
      </c>
      <c r="Q121" t="s">
        <v>63</v>
      </c>
      <c r="R121" t="s">
        <v>36</v>
      </c>
      <c r="S121" t="s">
        <v>117</v>
      </c>
      <c r="T121" s="2">
        <v>46074.471585648149</v>
      </c>
      <c r="U121" s="2">
        <v>46074.4924537037</v>
      </c>
      <c r="V121" s="3">
        <v>8.1365740740740738E-3</v>
      </c>
      <c r="W121" t="s">
        <v>49</v>
      </c>
      <c r="X121">
        <v>1</v>
      </c>
      <c r="Y121">
        <v>12</v>
      </c>
      <c r="Z121" s="3">
        <v>3.472222222222222E-3</v>
      </c>
      <c r="AA121">
        <v>0.08</v>
      </c>
      <c r="AB121" t="s">
        <v>56</v>
      </c>
      <c r="AC121" s="3">
        <v>4.3275462962962967E-2</v>
      </c>
      <c r="AD121" t="s">
        <v>64</v>
      </c>
      <c r="AE121" t="s">
        <v>38</v>
      </c>
      <c r="AF121" t="s">
        <v>54</v>
      </c>
      <c r="AG121" t="s">
        <v>55</v>
      </c>
      <c r="AH121" t="s">
        <v>35</v>
      </c>
      <c r="AI121" t="s">
        <v>41</v>
      </c>
    </row>
    <row r="122" spans="1:35">
      <c r="A122">
        <v>22541</v>
      </c>
      <c r="B122" t="s">
        <v>258</v>
      </c>
      <c r="C122">
        <v>3874</v>
      </c>
      <c r="D122" t="s">
        <v>211</v>
      </c>
      <c r="E122">
        <v>3874</v>
      </c>
      <c r="F122" t="s">
        <v>211</v>
      </c>
      <c r="G122" s="1">
        <v>46074</v>
      </c>
      <c r="H122" t="s">
        <v>64</v>
      </c>
      <c r="I122" t="s">
        <v>45</v>
      </c>
      <c r="J122" t="s">
        <v>76</v>
      </c>
      <c r="K122" t="s">
        <v>201</v>
      </c>
      <c r="L122">
        <v>35980</v>
      </c>
      <c r="M122">
        <v>0</v>
      </c>
      <c r="N122">
        <v>0</v>
      </c>
      <c r="O122">
        <v>0</v>
      </c>
      <c r="P122" t="s">
        <v>52</v>
      </c>
      <c r="Q122" t="s">
        <v>63</v>
      </c>
      <c r="R122" t="s">
        <v>36</v>
      </c>
      <c r="S122" t="s">
        <v>128</v>
      </c>
      <c r="T122" s="2">
        <v>46074.448784722219</v>
      </c>
      <c r="U122" s="2">
        <v>46074.45989583333</v>
      </c>
      <c r="V122" s="3">
        <v>1.1111111111111112E-2</v>
      </c>
      <c r="W122" t="s">
        <v>49</v>
      </c>
      <c r="X122">
        <v>1</v>
      </c>
      <c r="Y122">
        <v>12</v>
      </c>
      <c r="Z122" s="3">
        <v>3.472222222222222E-3</v>
      </c>
      <c r="AA122">
        <v>0.08</v>
      </c>
      <c r="AB122" t="s">
        <v>56</v>
      </c>
      <c r="AC122" s="3">
        <v>4.3275462962962967E-2</v>
      </c>
      <c r="AD122" t="s">
        <v>64</v>
      </c>
      <c r="AE122" t="s">
        <v>38</v>
      </c>
      <c r="AF122" t="s">
        <v>54</v>
      </c>
      <c r="AG122" t="s">
        <v>55</v>
      </c>
      <c r="AH122" t="s">
        <v>35</v>
      </c>
      <c r="AI122" t="s">
        <v>41</v>
      </c>
    </row>
    <row r="123" spans="1:35">
      <c r="A123">
        <v>22541</v>
      </c>
      <c r="B123" t="s">
        <v>258</v>
      </c>
      <c r="C123">
        <v>3874</v>
      </c>
      <c r="D123" t="s">
        <v>211</v>
      </c>
      <c r="E123">
        <v>3874</v>
      </c>
      <c r="F123" t="s">
        <v>211</v>
      </c>
      <c r="G123" s="1">
        <v>46074</v>
      </c>
      <c r="H123" t="s">
        <v>64</v>
      </c>
      <c r="I123" t="s">
        <v>45</v>
      </c>
      <c r="J123" t="s">
        <v>115</v>
      </c>
      <c r="K123" t="s">
        <v>131</v>
      </c>
      <c r="L123">
        <v>13412</v>
      </c>
      <c r="M123">
        <v>0</v>
      </c>
      <c r="N123">
        <v>0</v>
      </c>
      <c r="O123">
        <v>0</v>
      </c>
      <c r="P123" t="s">
        <v>52</v>
      </c>
      <c r="Q123" t="s">
        <v>63</v>
      </c>
      <c r="R123" t="s">
        <v>36</v>
      </c>
      <c r="S123" t="s">
        <v>128</v>
      </c>
      <c r="T123" s="2">
        <v>46073.398136574076</v>
      </c>
      <c r="U123" s="2">
        <v>46074.461111111108</v>
      </c>
      <c r="V123" s="3">
        <v>1.8518518518518517E-3</v>
      </c>
      <c r="W123" t="s">
        <v>49</v>
      </c>
      <c r="X123">
        <v>1</v>
      </c>
      <c r="Y123">
        <v>12</v>
      </c>
      <c r="Z123" s="3">
        <v>3.472222222222222E-3</v>
      </c>
      <c r="AA123">
        <v>0.08</v>
      </c>
      <c r="AB123" t="s">
        <v>56</v>
      </c>
      <c r="AC123" s="3">
        <v>4.3275462962962967E-2</v>
      </c>
      <c r="AD123" t="s">
        <v>64</v>
      </c>
      <c r="AE123" t="s">
        <v>38</v>
      </c>
      <c r="AF123" t="s">
        <v>54</v>
      </c>
      <c r="AG123" t="s">
        <v>55</v>
      </c>
      <c r="AH123" t="s">
        <v>35</v>
      </c>
      <c r="AI123" t="s">
        <v>41</v>
      </c>
    </row>
    <row r="124" spans="1:35">
      <c r="A124">
        <v>22541</v>
      </c>
      <c r="B124" t="s">
        <v>258</v>
      </c>
      <c r="C124">
        <v>3874</v>
      </c>
      <c r="D124" t="s">
        <v>211</v>
      </c>
      <c r="E124">
        <v>3874</v>
      </c>
      <c r="F124" t="s">
        <v>211</v>
      </c>
      <c r="G124" s="1">
        <v>46074</v>
      </c>
      <c r="H124" t="s">
        <v>64</v>
      </c>
      <c r="I124" t="s">
        <v>45</v>
      </c>
      <c r="J124" t="s">
        <v>105</v>
      </c>
      <c r="K124" t="s">
        <v>142</v>
      </c>
      <c r="L124">
        <v>13197</v>
      </c>
      <c r="M124">
        <v>0</v>
      </c>
      <c r="N124">
        <v>0</v>
      </c>
      <c r="O124">
        <v>0</v>
      </c>
      <c r="P124" t="s">
        <v>71</v>
      </c>
      <c r="Q124" t="s">
        <v>259</v>
      </c>
      <c r="R124" t="s">
        <v>36</v>
      </c>
      <c r="S124" t="s">
        <v>128</v>
      </c>
      <c r="T124" s="2">
        <v>46074.437430555554</v>
      </c>
      <c r="U124" s="2">
        <v>46074.439247685186</v>
      </c>
      <c r="V124" s="3">
        <v>1.8171296296296297E-3</v>
      </c>
      <c r="W124" t="s">
        <v>49</v>
      </c>
      <c r="X124">
        <v>1</v>
      </c>
      <c r="Y124">
        <v>10</v>
      </c>
      <c r="Z124" s="3">
        <v>4.1666666666666666E-3</v>
      </c>
      <c r="AA124">
        <v>0.1</v>
      </c>
      <c r="AB124" t="s">
        <v>56</v>
      </c>
      <c r="AC124" s="3">
        <v>4.3275462962962967E-2</v>
      </c>
      <c r="AD124" t="s">
        <v>64</v>
      </c>
      <c r="AE124" t="s">
        <v>38</v>
      </c>
      <c r="AF124" t="s">
        <v>54</v>
      </c>
      <c r="AG124" t="s">
        <v>55</v>
      </c>
      <c r="AH124" t="s">
        <v>35</v>
      </c>
      <c r="AI124" t="s">
        <v>41</v>
      </c>
    </row>
    <row r="125" spans="1:35">
      <c r="A125">
        <v>22541</v>
      </c>
      <c r="B125" t="s">
        <v>258</v>
      </c>
      <c r="C125">
        <v>3874</v>
      </c>
      <c r="D125" t="s">
        <v>211</v>
      </c>
      <c r="E125">
        <v>3874</v>
      </c>
      <c r="F125" t="s">
        <v>211</v>
      </c>
      <c r="G125" s="1">
        <v>46074</v>
      </c>
      <c r="H125" t="s">
        <v>64</v>
      </c>
      <c r="I125" t="s">
        <v>45</v>
      </c>
      <c r="J125" t="s">
        <v>105</v>
      </c>
      <c r="K125" t="s">
        <v>142</v>
      </c>
      <c r="L125">
        <v>13201</v>
      </c>
      <c r="M125">
        <v>0</v>
      </c>
      <c r="N125">
        <v>0</v>
      </c>
      <c r="O125">
        <v>0</v>
      </c>
      <c r="P125" t="s">
        <v>71</v>
      </c>
      <c r="Q125" t="s">
        <v>259</v>
      </c>
      <c r="R125" t="s">
        <v>36</v>
      </c>
      <c r="S125" t="s">
        <v>128</v>
      </c>
      <c r="T125" s="2">
        <v>46074.439814814818</v>
      </c>
      <c r="U125" s="2">
        <v>46074.447268518517</v>
      </c>
      <c r="V125" s="3">
        <v>7.4537037037037028E-3</v>
      </c>
      <c r="W125" t="s">
        <v>49</v>
      </c>
      <c r="X125">
        <v>1</v>
      </c>
      <c r="Y125">
        <v>10</v>
      </c>
      <c r="Z125" s="3">
        <v>4.1666666666666666E-3</v>
      </c>
      <c r="AA125">
        <v>0.1</v>
      </c>
      <c r="AB125" t="s">
        <v>56</v>
      </c>
      <c r="AC125" s="3">
        <v>4.3275462962962967E-2</v>
      </c>
      <c r="AD125" t="s">
        <v>64</v>
      </c>
      <c r="AE125" t="s">
        <v>38</v>
      </c>
      <c r="AF125" t="s">
        <v>54</v>
      </c>
      <c r="AG125" t="s">
        <v>55</v>
      </c>
      <c r="AH125" t="s">
        <v>35</v>
      </c>
      <c r="AI125" t="s">
        <v>41</v>
      </c>
    </row>
    <row r="126" spans="1:35">
      <c r="A126">
        <v>22541</v>
      </c>
      <c r="B126" t="s">
        <v>258</v>
      </c>
      <c r="C126">
        <v>3874</v>
      </c>
      <c r="D126" t="s">
        <v>211</v>
      </c>
      <c r="E126">
        <v>3874</v>
      </c>
      <c r="F126" t="s">
        <v>211</v>
      </c>
      <c r="G126" s="1">
        <v>46074</v>
      </c>
      <c r="H126" t="s">
        <v>64</v>
      </c>
      <c r="I126" t="s">
        <v>45</v>
      </c>
      <c r="J126" t="s">
        <v>158</v>
      </c>
      <c r="K126" t="s">
        <v>260</v>
      </c>
      <c r="L126">
        <v>4521</v>
      </c>
      <c r="M126">
        <v>0</v>
      </c>
      <c r="N126">
        <v>0</v>
      </c>
      <c r="O126">
        <v>0</v>
      </c>
      <c r="P126" t="s">
        <v>71</v>
      </c>
      <c r="Q126" t="s">
        <v>259</v>
      </c>
      <c r="R126" t="s">
        <v>36</v>
      </c>
      <c r="S126" t="s">
        <v>261</v>
      </c>
      <c r="T126" s="2">
        <v>46074.391018518516</v>
      </c>
      <c r="U126" s="2">
        <v>46074.414652777778</v>
      </c>
      <c r="V126" s="3">
        <v>2.3634259259259258E-2</v>
      </c>
      <c r="W126" t="s">
        <v>49</v>
      </c>
      <c r="X126">
        <v>1</v>
      </c>
      <c r="Y126">
        <v>10</v>
      </c>
      <c r="Z126" s="3">
        <v>4.1666666666666666E-3</v>
      </c>
      <c r="AA126">
        <v>0.1</v>
      </c>
      <c r="AB126" t="s">
        <v>48</v>
      </c>
      <c r="AC126" s="3">
        <v>4.3275462962962967E-2</v>
      </c>
      <c r="AD126" t="s">
        <v>64</v>
      </c>
      <c r="AE126" t="s">
        <v>38</v>
      </c>
      <c r="AF126" t="s">
        <v>54</v>
      </c>
      <c r="AG126" t="s">
        <v>55</v>
      </c>
      <c r="AH126" t="s">
        <v>35</v>
      </c>
      <c r="AI126" t="s">
        <v>41</v>
      </c>
    </row>
    <row r="127" spans="1:35">
      <c r="A127">
        <v>22541</v>
      </c>
      <c r="B127" t="s">
        <v>258</v>
      </c>
      <c r="C127">
        <v>3874</v>
      </c>
      <c r="D127" t="s">
        <v>211</v>
      </c>
      <c r="E127">
        <v>3874</v>
      </c>
      <c r="F127" t="s">
        <v>211</v>
      </c>
      <c r="G127" s="1">
        <v>46074</v>
      </c>
      <c r="H127" t="s">
        <v>64</v>
      </c>
      <c r="I127" t="s">
        <v>45</v>
      </c>
      <c r="J127" t="s">
        <v>110</v>
      </c>
      <c r="K127" t="s">
        <v>231</v>
      </c>
      <c r="L127">
        <v>100037</v>
      </c>
      <c r="M127">
        <v>0</v>
      </c>
      <c r="N127">
        <v>0</v>
      </c>
      <c r="O127">
        <v>0</v>
      </c>
      <c r="P127" t="s">
        <v>155</v>
      </c>
      <c r="Q127" t="s">
        <v>61</v>
      </c>
      <c r="R127" t="s">
        <v>36</v>
      </c>
      <c r="S127" t="s">
        <v>87</v>
      </c>
      <c r="T127" s="2">
        <v>46074.504999999997</v>
      </c>
      <c r="U127" s="2">
        <v>46074.52103009259</v>
      </c>
      <c r="V127" s="3">
        <v>1.6030092592592592E-2</v>
      </c>
      <c r="W127" t="s">
        <v>37</v>
      </c>
      <c r="X127">
        <v>7</v>
      </c>
      <c r="Y127">
        <v>45</v>
      </c>
      <c r="Z127" s="3">
        <v>6.4699074074074069E-3</v>
      </c>
      <c r="AA127">
        <v>0.16</v>
      </c>
      <c r="AB127" t="s">
        <v>48</v>
      </c>
      <c r="AC127" s="3">
        <v>4.3275462962962967E-2</v>
      </c>
      <c r="AD127" t="s">
        <v>64</v>
      </c>
      <c r="AE127" t="s">
        <v>38</v>
      </c>
      <c r="AF127" t="s">
        <v>54</v>
      </c>
      <c r="AG127" t="s">
        <v>55</v>
      </c>
      <c r="AH127" t="s">
        <v>35</v>
      </c>
      <c r="AI127" t="s">
        <v>41</v>
      </c>
    </row>
    <row r="128" spans="1:35">
      <c r="A128">
        <v>22541</v>
      </c>
      <c r="B128" t="s">
        <v>258</v>
      </c>
      <c r="C128">
        <v>3874</v>
      </c>
      <c r="D128" t="s">
        <v>211</v>
      </c>
      <c r="E128">
        <v>3874</v>
      </c>
      <c r="F128" t="s">
        <v>211</v>
      </c>
      <c r="G128" s="1">
        <v>46074</v>
      </c>
      <c r="H128" t="s">
        <v>64</v>
      </c>
      <c r="I128" t="s">
        <v>45</v>
      </c>
      <c r="J128" t="s">
        <v>76</v>
      </c>
      <c r="K128" t="s">
        <v>201</v>
      </c>
      <c r="L128">
        <v>35970</v>
      </c>
      <c r="M128">
        <v>0</v>
      </c>
      <c r="N128">
        <v>0</v>
      </c>
      <c r="O128">
        <v>0</v>
      </c>
      <c r="P128" t="s">
        <v>52</v>
      </c>
      <c r="Q128" t="s">
        <v>63</v>
      </c>
      <c r="R128" t="s">
        <v>36</v>
      </c>
      <c r="S128" t="s">
        <v>128</v>
      </c>
      <c r="T128" s="2">
        <v>46073.404895833337</v>
      </c>
      <c r="U128" s="2">
        <v>46074.47146990741</v>
      </c>
      <c r="V128" s="3">
        <v>1.3761574074074074E-2</v>
      </c>
      <c r="W128" t="s">
        <v>49</v>
      </c>
      <c r="X128">
        <v>1</v>
      </c>
      <c r="Y128">
        <v>12</v>
      </c>
      <c r="Z128" s="3">
        <v>3.472222222222222E-3</v>
      </c>
      <c r="AA128">
        <v>0.08</v>
      </c>
      <c r="AB128" t="s">
        <v>56</v>
      </c>
      <c r="AC128" s="3">
        <v>4.3275462962962967E-2</v>
      </c>
      <c r="AD128" t="s">
        <v>64</v>
      </c>
      <c r="AE128" t="s">
        <v>38</v>
      </c>
      <c r="AF128" t="s">
        <v>54</v>
      </c>
      <c r="AG128" t="s">
        <v>55</v>
      </c>
      <c r="AH128" t="s">
        <v>35</v>
      </c>
      <c r="AI128" t="s">
        <v>41</v>
      </c>
    </row>
    <row r="129" spans="1:35">
      <c r="A129">
        <v>22541</v>
      </c>
      <c r="B129" t="s">
        <v>258</v>
      </c>
      <c r="C129">
        <v>3874</v>
      </c>
      <c r="D129" t="s">
        <v>211</v>
      </c>
      <c r="E129">
        <v>3874</v>
      </c>
      <c r="F129" t="s">
        <v>211</v>
      </c>
      <c r="G129" s="1">
        <v>46074</v>
      </c>
      <c r="H129" t="s">
        <v>64</v>
      </c>
      <c r="I129" t="s">
        <v>45</v>
      </c>
      <c r="J129" t="s">
        <v>82</v>
      </c>
      <c r="K129" t="s">
        <v>236</v>
      </c>
      <c r="L129">
        <v>100975</v>
      </c>
      <c r="M129">
        <v>0</v>
      </c>
      <c r="N129">
        <v>0</v>
      </c>
      <c r="O129">
        <v>0</v>
      </c>
      <c r="P129" t="s">
        <v>52</v>
      </c>
      <c r="Q129" t="s">
        <v>63</v>
      </c>
      <c r="R129" t="s">
        <v>36</v>
      </c>
      <c r="S129" t="s">
        <v>117</v>
      </c>
      <c r="T129" s="2">
        <v>46074.461863425924</v>
      </c>
      <c r="U129" s="2">
        <v>46074.470381944448</v>
      </c>
      <c r="V129" s="3">
        <v>8.518518518518519E-3</v>
      </c>
      <c r="W129" t="s">
        <v>49</v>
      </c>
      <c r="X129">
        <v>1</v>
      </c>
      <c r="Y129">
        <v>12</v>
      </c>
      <c r="Z129" s="3">
        <v>3.472222222222222E-3</v>
      </c>
      <c r="AA129">
        <v>0.08</v>
      </c>
      <c r="AB129" t="s">
        <v>56</v>
      </c>
      <c r="AC129" s="3">
        <v>4.3275462962962967E-2</v>
      </c>
      <c r="AD129" t="s">
        <v>64</v>
      </c>
      <c r="AE129" t="s">
        <v>38</v>
      </c>
      <c r="AF129" t="s">
        <v>54</v>
      </c>
      <c r="AG129" t="s">
        <v>55</v>
      </c>
      <c r="AH129" t="s">
        <v>35</v>
      </c>
      <c r="AI129" t="s">
        <v>41</v>
      </c>
    </row>
    <row r="130" spans="1:35">
      <c r="A130">
        <v>22602</v>
      </c>
      <c r="B130" t="s">
        <v>292</v>
      </c>
      <c r="C130">
        <v>22541</v>
      </c>
      <c r="D130" t="s">
        <v>247</v>
      </c>
      <c r="E130">
        <v>3874</v>
      </c>
      <c r="F130" t="s">
        <v>211</v>
      </c>
      <c r="G130" s="1">
        <v>46074</v>
      </c>
      <c r="H130" t="s">
        <v>64</v>
      </c>
      <c r="I130" t="s">
        <v>45</v>
      </c>
      <c r="J130" t="s">
        <v>85</v>
      </c>
      <c r="K130" t="s">
        <v>135</v>
      </c>
      <c r="L130">
        <v>110148</v>
      </c>
      <c r="M130">
        <v>0</v>
      </c>
      <c r="N130">
        <v>0</v>
      </c>
      <c r="O130">
        <v>0</v>
      </c>
      <c r="P130" t="s">
        <v>99</v>
      </c>
      <c r="Q130" t="s">
        <v>223</v>
      </c>
      <c r="R130" t="s">
        <v>36</v>
      </c>
      <c r="S130" t="s">
        <v>117</v>
      </c>
      <c r="T130" s="2">
        <v>46074.796041666668</v>
      </c>
      <c r="U130" s="2">
        <v>46074.84716435185</v>
      </c>
      <c r="V130" s="3">
        <v>5.1122685185185181E-2</v>
      </c>
      <c r="W130" t="s">
        <v>49</v>
      </c>
      <c r="X130">
        <v>1</v>
      </c>
      <c r="Y130">
        <v>2</v>
      </c>
      <c r="Z130" s="3">
        <v>2.0833333333333332E-2</v>
      </c>
      <c r="AA130">
        <v>0.5</v>
      </c>
      <c r="AB130" t="s">
        <v>56</v>
      </c>
      <c r="AC130" s="3">
        <v>0.23976851851851852</v>
      </c>
      <c r="AD130" t="s">
        <v>64</v>
      </c>
      <c r="AE130" t="s">
        <v>38</v>
      </c>
      <c r="AF130" t="s">
        <v>39</v>
      </c>
      <c r="AG130" t="s">
        <v>40</v>
      </c>
      <c r="AH130" s="3">
        <v>1.7002314814814814E-2</v>
      </c>
      <c r="AI130" t="s">
        <v>44</v>
      </c>
    </row>
    <row r="131" spans="1:35">
      <c r="A131">
        <v>22602</v>
      </c>
      <c r="B131" t="s">
        <v>292</v>
      </c>
      <c r="C131">
        <v>22541</v>
      </c>
      <c r="D131" t="s">
        <v>247</v>
      </c>
      <c r="E131">
        <v>3874</v>
      </c>
      <c r="F131" t="s">
        <v>211</v>
      </c>
      <c r="G131" s="1">
        <v>46074</v>
      </c>
      <c r="H131" t="s">
        <v>64</v>
      </c>
      <c r="I131" t="s">
        <v>45</v>
      </c>
      <c r="J131" t="s">
        <v>85</v>
      </c>
      <c r="K131" t="s">
        <v>135</v>
      </c>
      <c r="L131">
        <v>110141</v>
      </c>
      <c r="M131">
        <v>0</v>
      </c>
      <c r="N131">
        <v>0</v>
      </c>
      <c r="O131">
        <v>0</v>
      </c>
      <c r="P131" t="s">
        <v>99</v>
      </c>
      <c r="Q131" t="s">
        <v>223</v>
      </c>
      <c r="R131" t="s">
        <v>36</v>
      </c>
      <c r="S131" t="s">
        <v>117</v>
      </c>
      <c r="T131" s="2">
        <v>46074.616319444445</v>
      </c>
      <c r="U131" s="2">
        <v>46074.791851851849</v>
      </c>
      <c r="V131" s="3">
        <v>7.1643518518518514E-3</v>
      </c>
      <c r="W131" t="s">
        <v>49</v>
      </c>
      <c r="X131">
        <v>1</v>
      </c>
      <c r="Y131">
        <v>2</v>
      </c>
      <c r="Z131" s="3">
        <v>2.0833333333333332E-2</v>
      </c>
      <c r="AA131">
        <v>0.5</v>
      </c>
      <c r="AB131" t="s">
        <v>56</v>
      </c>
      <c r="AC131" s="3">
        <v>0.23976851851851852</v>
      </c>
      <c r="AD131" t="s">
        <v>64</v>
      </c>
      <c r="AE131" t="s">
        <v>38</v>
      </c>
      <c r="AF131" t="s">
        <v>39</v>
      </c>
      <c r="AG131" t="s">
        <v>40</v>
      </c>
      <c r="AH131" s="3">
        <v>1.7002314814814814E-2</v>
      </c>
      <c r="AI131" t="s">
        <v>44</v>
      </c>
    </row>
    <row r="132" spans="1:35">
      <c r="A132">
        <v>22602</v>
      </c>
      <c r="B132" t="s">
        <v>292</v>
      </c>
      <c r="C132">
        <v>22541</v>
      </c>
      <c r="D132" t="s">
        <v>247</v>
      </c>
      <c r="E132">
        <v>3874</v>
      </c>
      <c r="F132" t="s">
        <v>211</v>
      </c>
      <c r="G132" s="1">
        <v>46074</v>
      </c>
      <c r="H132" t="s">
        <v>64</v>
      </c>
      <c r="I132" t="s">
        <v>45</v>
      </c>
      <c r="J132" t="s">
        <v>156</v>
      </c>
      <c r="K132" t="s">
        <v>157</v>
      </c>
      <c r="L132">
        <v>8370</v>
      </c>
      <c r="M132">
        <v>0</v>
      </c>
      <c r="N132">
        <v>0</v>
      </c>
      <c r="O132">
        <v>0</v>
      </c>
      <c r="P132" t="s">
        <v>99</v>
      </c>
      <c r="Q132" t="s">
        <v>224</v>
      </c>
      <c r="R132" t="s">
        <v>36</v>
      </c>
      <c r="S132" t="s">
        <v>128</v>
      </c>
      <c r="T132" s="2">
        <v>46074.899085648147</v>
      </c>
      <c r="U132" s="2">
        <v>46074.912361111114</v>
      </c>
      <c r="V132" s="3">
        <v>1.3275462962962963E-2</v>
      </c>
      <c r="W132" t="s">
        <v>49</v>
      </c>
      <c r="X132">
        <v>1</v>
      </c>
      <c r="Y132">
        <v>2</v>
      </c>
      <c r="Z132" s="3">
        <v>2.0833333333333332E-2</v>
      </c>
      <c r="AA132">
        <v>0.5</v>
      </c>
      <c r="AB132" t="s">
        <v>56</v>
      </c>
      <c r="AC132" s="3">
        <v>0.23976851851851852</v>
      </c>
      <c r="AD132" t="s">
        <v>64</v>
      </c>
      <c r="AE132" t="s">
        <v>38</v>
      </c>
      <c r="AF132" t="s">
        <v>39</v>
      </c>
      <c r="AG132" t="s">
        <v>40</v>
      </c>
      <c r="AH132" s="3">
        <v>1.7002314814814814E-2</v>
      </c>
      <c r="AI132" t="s">
        <v>44</v>
      </c>
    </row>
    <row r="133" spans="1:35">
      <c r="A133">
        <v>22602</v>
      </c>
      <c r="B133" t="s">
        <v>292</v>
      </c>
      <c r="C133">
        <v>22541</v>
      </c>
      <c r="D133" t="s">
        <v>247</v>
      </c>
      <c r="E133">
        <v>3874</v>
      </c>
      <c r="F133" t="s">
        <v>211</v>
      </c>
      <c r="G133" s="1">
        <v>46074</v>
      </c>
      <c r="H133" t="s">
        <v>64</v>
      </c>
      <c r="I133" t="s">
        <v>45</v>
      </c>
      <c r="J133" t="s">
        <v>163</v>
      </c>
      <c r="K133" t="s">
        <v>164</v>
      </c>
      <c r="L133">
        <v>101532</v>
      </c>
      <c r="M133">
        <v>0</v>
      </c>
      <c r="N133">
        <v>0</v>
      </c>
      <c r="O133">
        <v>0</v>
      </c>
      <c r="P133" t="s">
        <v>52</v>
      </c>
      <c r="Q133" t="s">
        <v>194</v>
      </c>
      <c r="R133" t="s">
        <v>36</v>
      </c>
      <c r="S133" t="s">
        <v>117</v>
      </c>
      <c r="T133" s="2">
        <v>46072.291134259256</v>
      </c>
      <c r="U133" s="2">
        <v>46074.380648148152</v>
      </c>
      <c r="V133" s="3">
        <v>2.1342592592592594E-2</v>
      </c>
      <c r="W133" t="s">
        <v>60</v>
      </c>
      <c r="X133">
        <v>35</v>
      </c>
      <c r="Y133">
        <v>70</v>
      </c>
      <c r="Z133" s="3">
        <v>2.0833333333333332E-2</v>
      </c>
      <c r="AA133">
        <v>0.5</v>
      </c>
      <c r="AB133" t="s">
        <v>56</v>
      </c>
      <c r="AC133" s="3">
        <v>0.23976851851851852</v>
      </c>
      <c r="AD133" t="s">
        <v>64</v>
      </c>
      <c r="AE133" t="s">
        <v>38</v>
      </c>
      <c r="AF133" t="s">
        <v>39</v>
      </c>
      <c r="AG133" t="s">
        <v>40</v>
      </c>
      <c r="AH133" s="3">
        <v>1.7002314814814814E-2</v>
      </c>
      <c r="AI133" t="s">
        <v>44</v>
      </c>
    </row>
    <row r="134" spans="1:35">
      <c r="A134">
        <v>22602</v>
      </c>
      <c r="B134" t="s">
        <v>292</v>
      </c>
      <c r="C134">
        <v>22541</v>
      </c>
      <c r="D134" t="s">
        <v>247</v>
      </c>
      <c r="E134">
        <v>3874</v>
      </c>
      <c r="F134" t="s">
        <v>211</v>
      </c>
      <c r="G134" s="1">
        <v>46074</v>
      </c>
      <c r="H134" t="s">
        <v>64</v>
      </c>
      <c r="I134" t="s">
        <v>45</v>
      </c>
      <c r="J134" t="s">
        <v>85</v>
      </c>
      <c r="K134" t="s">
        <v>135</v>
      </c>
      <c r="L134">
        <v>110148</v>
      </c>
      <c r="M134">
        <v>0</v>
      </c>
      <c r="N134">
        <v>0</v>
      </c>
      <c r="O134">
        <v>0</v>
      </c>
      <c r="P134" t="s">
        <v>52</v>
      </c>
      <c r="Q134" t="s">
        <v>194</v>
      </c>
      <c r="R134" t="s">
        <v>36</v>
      </c>
      <c r="S134" t="s">
        <v>117</v>
      </c>
      <c r="T134" s="2">
        <v>46074.847442129627</v>
      </c>
      <c r="U134" s="2">
        <v>46074.870023148149</v>
      </c>
      <c r="V134" s="3">
        <v>6.5162037037037037E-3</v>
      </c>
      <c r="W134" t="s">
        <v>60</v>
      </c>
      <c r="X134">
        <v>17</v>
      </c>
      <c r="Y134">
        <v>70</v>
      </c>
      <c r="Z134" s="3">
        <v>1.0115740740740741E-2</v>
      </c>
      <c r="AA134">
        <v>0.24</v>
      </c>
      <c r="AB134" t="s">
        <v>56</v>
      </c>
      <c r="AC134" s="3">
        <v>0.23976851851851852</v>
      </c>
      <c r="AD134" t="s">
        <v>64</v>
      </c>
      <c r="AE134" t="s">
        <v>38</v>
      </c>
      <c r="AF134" t="s">
        <v>39</v>
      </c>
      <c r="AG134" t="s">
        <v>40</v>
      </c>
      <c r="AH134" s="3">
        <v>1.7002314814814814E-2</v>
      </c>
      <c r="AI134" t="s">
        <v>44</v>
      </c>
    </row>
    <row r="135" spans="1:35">
      <c r="A135">
        <v>22602</v>
      </c>
      <c r="B135" t="s">
        <v>292</v>
      </c>
      <c r="C135">
        <v>22541</v>
      </c>
      <c r="D135" t="s">
        <v>247</v>
      </c>
      <c r="E135">
        <v>3874</v>
      </c>
      <c r="F135" t="s">
        <v>211</v>
      </c>
      <c r="G135" s="1">
        <v>46074</v>
      </c>
      <c r="H135" t="s">
        <v>64</v>
      </c>
      <c r="I135" t="s">
        <v>45</v>
      </c>
      <c r="J135" t="s">
        <v>85</v>
      </c>
      <c r="K135" t="s">
        <v>135</v>
      </c>
      <c r="L135">
        <v>110140</v>
      </c>
      <c r="M135">
        <v>0</v>
      </c>
      <c r="N135">
        <v>0</v>
      </c>
      <c r="O135">
        <v>0</v>
      </c>
      <c r="P135" t="s">
        <v>52</v>
      </c>
      <c r="Q135" t="s">
        <v>194</v>
      </c>
      <c r="R135" t="s">
        <v>36</v>
      </c>
      <c r="S135" t="s">
        <v>117</v>
      </c>
      <c r="T135" s="2">
        <v>46074.528182870374</v>
      </c>
      <c r="U135" s="2">
        <v>46074.616157407407</v>
      </c>
      <c r="V135" s="3">
        <v>1.4293981481481482E-2</v>
      </c>
      <c r="W135" t="s">
        <v>60</v>
      </c>
      <c r="X135">
        <v>34</v>
      </c>
      <c r="Y135">
        <v>70</v>
      </c>
      <c r="Z135" s="3">
        <v>2.0231481481481482E-2</v>
      </c>
      <c r="AA135">
        <v>0.49</v>
      </c>
      <c r="AB135" t="s">
        <v>56</v>
      </c>
      <c r="AC135" s="3">
        <v>0.23976851851851852</v>
      </c>
      <c r="AD135" t="s">
        <v>64</v>
      </c>
      <c r="AE135" t="s">
        <v>38</v>
      </c>
      <c r="AF135" t="s">
        <v>39</v>
      </c>
      <c r="AG135" t="s">
        <v>40</v>
      </c>
      <c r="AH135" s="3">
        <v>1.7002314814814814E-2</v>
      </c>
      <c r="AI135" t="s">
        <v>44</v>
      </c>
    </row>
    <row r="136" spans="1:35">
      <c r="A136">
        <v>22602</v>
      </c>
      <c r="B136" t="s">
        <v>292</v>
      </c>
      <c r="C136">
        <v>22541</v>
      </c>
      <c r="D136" t="s">
        <v>247</v>
      </c>
      <c r="E136">
        <v>3874</v>
      </c>
      <c r="F136" t="s">
        <v>211</v>
      </c>
      <c r="G136" s="1">
        <v>46074</v>
      </c>
      <c r="H136" t="s">
        <v>64</v>
      </c>
      <c r="I136" t="s">
        <v>45</v>
      </c>
      <c r="J136" t="s">
        <v>85</v>
      </c>
      <c r="K136" t="s">
        <v>135</v>
      </c>
      <c r="L136">
        <v>110141</v>
      </c>
      <c r="M136">
        <v>0</v>
      </c>
      <c r="N136">
        <v>0</v>
      </c>
      <c r="O136">
        <v>0</v>
      </c>
      <c r="P136" t="s">
        <v>52</v>
      </c>
      <c r="Q136" t="s">
        <v>194</v>
      </c>
      <c r="R136" t="s">
        <v>36</v>
      </c>
      <c r="S136" t="s">
        <v>117</v>
      </c>
      <c r="T136" s="2">
        <v>46074.792060185187</v>
      </c>
      <c r="U136" s="2">
        <v>46074.795868055553</v>
      </c>
      <c r="V136" s="3">
        <v>3.8078703703703707E-3</v>
      </c>
      <c r="W136" t="s">
        <v>60</v>
      </c>
      <c r="X136">
        <v>10</v>
      </c>
      <c r="Y136">
        <v>70</v>
      </c>
      <c r="Z136" s="3">
        <v>5.9490740740740745E-3</v>
      </c>
      <c r="AA136">
        <v>0.14000000000000001</v>
      </c>
      <c r="AB136" t="s">
        <v>56</v>
      </c>
      <c r="AC136" s="3">
        <v>0.23976851851851852</v>
      </c>
      <c r="AD136" t="s">
        <v>64</v>
      </c>
      <c r="AE136" t="s">
        <v>38</v>
      </c>
      <c r="AF136" t="s">
        <v>39</v>
      </c>
      <c r="AG136" t="s">
        <v>40</v>
      </c>
      <c r="AH136" s="3">
        <v>1.7002314814814814E-2</v>
      </c>
      <c r="AI136" t="s">
        <v>44</v>
      </c>
    </row>
    <row r="137" spans="1:35">
      <c r="A137">
        <v>22602</v>
      </c>
      <c r="B137" t="s">
        <v>292</v>
      </c>
      <c r="C137">
        <v>22541</v>
      </c>
      <c r="D137" t="s">
        <v>247</v>
      </c>
      <c r="E137">
        <v>3874</v>
      </c>
      <c r="F137" t="s">
        <v>211</v>
      </c>
      <c r="G137" s="1">
        <v>46074</v>
      </c>
      <c r="H137" t="s">
        <v>64</v>
      </c>
      <c r="I137" t="s">
        <v>45</v>
      </c>
      <c r="J137" t="s">
        <v>85</v>
      </c>
      <c r="K137" t="s">
        <v>162</v>
      </c>
      <c r="L137">
        <v>5831</v>
      </c>
      <c r="M137">
        <v>0</v>
      </c>
      <c r="N137">
        <v>0</v>
      </c>
      <c r="O137">
        <v>0</v>
      </c>
      <c r="P137" t="s">
        <v>52</v>
      </c>
      <c r="Q137" t="s">
        <v>194</v>
      </c>
      <c r="R137" t="s">
        <v>36</v>
      </c>
      <c r="S137" t="s">
        <v>128</v>
      </c>
      <c r="T137" s="2">
        <v>46074.463518518518</v>
      </c>
      <c r="U137" s="2">
        <v>46074.471747685187</v>
      </c>
      <c r="V137" s="3">
        <v>8.2291666666666659E-3</v>
      </c>
      <c r="W137" t="s">
        <v>60</v>
      </c>
      <c r="X137">
        <v>27</v>
      </c>
      <c r="Y137">
        <v>60</v>
      </c>
      <c r="Z137" s="3">
        <v>1.8749999999999999E-2</v>
      </c>
      <c r="AA137">
        <v>0.45</v>
      </c>
      <c r="AB137" t="s">
        <v>56</v>
      </c>
      <c r="AC137" s="3">
        <v>0.23976851851851852</v>
      </c>
      <c r="AD137" t="s">
        <v>64</v>
      </c>
      <c r="AE137" t="s">
        <v>38</v>
      </c>
      <c r="AF137" t="s">
        <v>39</v>
      </c>
      <c r="AG137" t="s">
        <v>40</v>
      </c>
      <c r="AH137" s="3">
        <v>1.7002314814814814E-2</v>
      </c>
      <c r="AI137" t="s">
        <v>44</v>
      </c>
    </row>
    <row r="138" spans="1:35">
      <c r="A138">
        <v>22602</v>
      </c>
      <c r="B138" t="s">
        <v>292</v>
      </c>
      <c r="C138">
        <v>22541</v>
      </c>
      <c r="D138" t="s">
        <v>247</v>
      </c>
      <c r="E138">
        <v>3874</v>
      </c>
      <c r="F138" t="s">
        <v>211</v>
      </c>
      <c r="G138" s="1">
        <v>46074</v>
      </c>
      <c r="H138" t="s">
        <v>64</v>
      </c>
      <c r="I138" t="s">
        <v>45</v>
      </c>
      <c r="J138" t="s">
        <v>126</v>
      </c>
      <c r="K138" t="s">
        <v>127</v>
      </c>
      <c r="L138">
        <v>62366</v>
      </c>
      <c r="M138">
        <v>0</v>
      </c>
      <c r="N138">
        <v>0</v>
      </c>
      <c r="O138">
        <v>0</v>
      </c>
      <c r="P138" t="s">
        <v>99</v>
      </c>
      <c r="Q138" t="s">
        <v>223</v>
      </c>
      <c r="R138" t="s">
        <v>36</v>
      </c>
      <c r="S138" t="s">
        <v>128</v>
      </c>
      <c r="T138" s="2">
        <v>46074.318310185183</v>
      </c>
      <c r="U138" s="2">
        <v>46074.332291666666</v>
      </c>
      <c r="V138" s="3">
        <v>1.3981481481481482E-2</v>
      </c>
      <c r="W138" t="s">
        <v>49</v>
      </c>
      <c r="X138">
        <v>1</v>
      </c>
      <c r="Y138">
        <v>2</v>
      </c>
      <c r="Z138" s="3">
        <v>2.0833333333333332E-2</v>
      </c>
      <c r="AA138">
        <v>0.5</v>
      </c>
      <c r="AB138" t="s">
        <v>56</v>
      </c>
      <c r="AC138" s="3">
        <v>0.23976851851851852</v>
      </c>
      <c r="AD138" t="s">
        <v>64</v>
      </c>
      <c r="AE138" t="s">
        <v>38</v>
      </c>
      <c r="AF138" t="s">
        <v>39</v>
      </c>
      <c r="AG138" t="s">
        <v>40</v>
      </c>
      <c r="AH138" s="3">
        <v>1.7002314814814814E-2</v>
      </c>
      <c r="AI138" t="s">
        <v>44</v>
      </c>
    </row>
    <row r="139" spans="1:35">
      <c r="A139">
        <v>22602</v>
      </c>
      <c r="B139" t="s">
        <v>292</v>
      </c>
      <c r="C139">
        <v>22541</v>
      </c>
      <c r="D139" t="s">
        <v>247</v>
      </c>
      <c r="E139">
        <v>3874</v>
      </c>
      <c r="F139" t="s">
        <v>211</v>
      </c>
      <c r="G139" s="1">
        <v>46074</v>
      </c>
      <c r="H139" t="s">
        <v>64</v>
      </c>
      <c r="I139" t="s">
        <v>45</v>
      </c>
      <c r="J139" t="s">
        <v>85</v>
      </c>
      <c r="K139" t="s">
        <v>135</v>
      </c>
      <c r="L139">
        <v>110140</v>
      </c>
      <c r="M139">
        <v>0</v>
      </c>
      <c r="N139">
        <v>0</v>
      </c>
      <c r="O139">
        <v>0</v>
      </c>
      <c r="P139" t="s">
        <v>99</v>
      </c>
      <c r="Q139" t="s">
        <v>223</v>
      </c>
      <c r="R139" t="s">
        <v>36</v>
      </c>
      <c r="S139" t="s">
        <v>117</v>
      </c>
      <c r="T139" s="2">
        <v>46074.471875000003</v>
      </c>
      <c r="U139" s="2">
        <v>46074.613541666666</v>
      </c>
      <c r="V139" s="3">
        <v>5.8368055555555555E-2</v>
      </c>
      <c r="W139" t="s">
        <v>49</v>
      </c>
      <c r="X139">
        <v>1</v>
      </c>
      <c r="Y139">
        <v>2</v>
      </c>
      <c r="Z139" s="3">
        <v>2.0833333333333332E-2</v>
      </c>
      <c r="AA139">
        <v>0.5</v>
      </c>
      <c r="AB139" t="s">
        <v>56</v>
      </c>
      <c r="AC139" s="3">
        <v>0.23976851851851852</v>
      </c>
      <c r="AD139" t="s">
        <v>64</v>
      </c>
      <c r="AE139" t="s">
        <v>38</v>
      </c>
      <c r="AF139" t="s">
        <v>39</v>
      </c>
      <c r="AG139" t="s">
        <v>40</v>
      </c>
      <c r="AH139" s="3">
        <v>1.7002314814814814E-2</v>
      </c>
      <c r="AI139" t="s">
        <v>44</v>
      </c>
    </row>
    <row r="140" spans="1:35">
      <c r="A140">
        <v>22602</v>
      </c>
      <c r="B140" t="s">
        <v>292</v>
      </c>
      <c r="C140">
        <v>22541</v>
      </c>
      <c r="D140" t="s">
        <v>247</v>
      </c>
      <c r="E140">
        <v>3874</v>
      </c>
      <c r="F140" t="s">
        <v>211</v>
      </c>
      <c r="G140" s="1">
        <v>46074</v>
      </c>
      <c r="H140" t="s">
        <v>64</v>
      </c>
      <c r="I140" t="s">
        <v>45</v>
      </c>
      <c r="J140" t="s">
        <v>85</v>
      </c>
      <c r="K140" t="s">
        <v>162</v>
      </c>
      <c r="L140">
        <v>5831</v>
      </c>
      <c r="M140">
        <v>0</v>
      </c>
      <c r="N140">
        <v>0</v>
      </c>
      <c r="O140">
        <v>0</v>
      </c>
      <c r="P140" t="s">
        <v>99</v>
      </c>
      <c r="Q140" t="s">
        <v>223</v>
      </c>
      <c r="R140" t="s">
        <v>36</v>
      </c>
      <c r="S140" t="s">
        <v>128</v>
      </c>
      <c r="T140" s="2">
        <v>46074.417430555557</v>
      </c>
      <c r="U140" s="2">
        <v>46074.463252314818</v>
      </c>
      <c r="V140" s="3">
        <v>4.5821759259259263E-2</v>
      </c>
      <c r="W140" t="s">
        <v>49</v>
      </c>
      <c r="X140">
        <v>1</v>
      </c>
      <c r="Y140">
        <v>2</v>
      </c>
      <c r="Z140" s="3">
        <v>2.0833333333333332E-2</v>
      </c>
      <c r="AA140">
        <v>0.5</v>
      </c>
      <c r="AB140" t="s">
        <v>56</v>
      </c>
      <c r="AC140" s="3">
        <v>0.23976851851851852</v>
      </c>
      <c r="AD140" t="s">
        <v>64</v>
      </c>
      <c r="AE140" t="s">
        <v>38</v>
      </c>
      <c r="AF140" t="s">
        <v>39</v>
      </c>
      <c r="AG140" t="s">
        <v>40</v>
      </c>
      <c r="AH140" s="3">
        <v>1.7002314814814814E-2</v>
      </c>
      <c r="AI140" t="s">
        <v>44</v>
      </c>
    </row>
    <row r="141" spans="1:35">
      <c r="A141">
        <v>22602</v>
      </c>
      <c r="B141" t="s">
        <v>292</v>
      </c>
      <c r="C141">
        <v>22541</v>
      </c>
      <c r="D141" t="s">
        <v>247</v>
      </c>
      <c r="E141">
        <v>3874</v>
      </c>
      <c r="F141" t="s">
        <v>211</v>
      </c>
      <c r="G141" s="1">
        <v>46074</v>
      </c>
      <c r="H141" t="s">
        <v>64</v>
      </c>
      <c r="I141" t="s">
        <v>45</v>
      </c>
      <c r="J141" t="s">
        <v>126</v>
      </c>
      <c r="K141" t="s">
        <v>127</v>
      </c>
      <c r="L141">
        <v>62366</v>
      </c>
      <c r="M141">
        <v>0</v>
      </c>
      <c r="N141">
        <v>0</v>
      </c>
      <c r="O141">
        <v>0</v>
      </c>
      <c r="P141" t="s">
        <v>52</v>
      </c>
      <c r="Q141" t="s">
        <v>194</v>
      </c>
      <c r="R141" t="s">
        <v>36</v>
      </c>
      <c r="S141" t="s">
        <v>128</v>
      </c>
      <c r="T141" s="2">
        <v>46074.270810185182</v>
      </c>
      <c r="U141" s="2">
        <v>46074.333252314813</v>
      </c>
      <c r="V141" s="3">
        <v>4.7673611111111104E-2</v>
      </c>
      <c r="W141" t="s">
        <v>60</v>
      </c>
      <c r="X141">
        <v>26</v>
      </c>
      <c r="Y141">
        <v>60</v>
      </c>
      <c r="Z141" s="3">
        <v>1.8055555555555557E-2</v>
      </c>
      <c r="AA141">
        <v>0.43</v>
      </c>
      <c r="AB141" t="s">
        <v>56</v>
      </c>
      <c r="AC141" s="3">
        <v>0.23976851851851852</v>
      </c>
      <c r="AD141" t="s">
        <v>64</v>
      </c>
      <c r="AE141" t="s">
        <v>38</v>
      </c>
      <c r="AF141" t="s">
        <v>39</v>
      </c>
      <c r="AG141" t="s">
        <v>40</v>
      </c>
      <c r="AH141" s="3">
        <v>1.7002314814814814E-2</v>
      </c>
      <c r="AI141" t="s">
        <v>44</v>
      </c>
    </row>
    <row r="142" spans="1:35">
      <c r="A142">
        <v>22602</v>
      </c>
      <c r="B142" t="s">
        <v>292</v>
      </c>
      <c r="C142">
        <v>22541</v>
      </c>
      <c r="D142" t="s">
        <v>247</v>
      </c>
      <c r="E142">
        <v>3874</v>
      </c>
      <c r="F142" t="s">
        <v>211</v>
      </c>
      <c r="G142" s="1">
        <v>46074</v>
      </c>
      <c r="H142" t="s">
        <v>64</v>
      </c>
      <c r="I142" t="s">
        <v>45</v>
      </c>
      <c r="J142" t="s">
        <v>82</v>
      </c>
      <c r="K142" t="s">
        <v>167</v>
      </c>
      <c r="L142">
        <v>103645</v>
      </c>
      <c r="M142">
        <v>0</v>
      </c>
      <c r="N142">
        <v>0</v>
      </c>
      <c r="O142">
        <v>0</v>
      </c>
      <c r="P142" t="s">
        <v>99</v>
      </c>
      <c r="Q142" t="s">
        <v>224</v>
      </c>
      <c r="R142" t="s">
        <v>36</v>
      </c>
      <c r="S142" t="s">
        <v>128</v>
      </c>
      <c r="T142" s="2">
        <v>46074.261666666665</v>
      </c>
      <c r="U142" s="2">
        <v>46074.898634259262</v>
      </c>
      <c r="V142" s="3">
        <v>2.5208333333333333E-2</v>
      </c>
      <c r="W142" t="s">
        <v>49</v>
      </c>
      <c r="X142">
        <v>1</v>
      </c>
      <c r="Y142">
        <v>2</v>
      </c>
      <c r="Z142" s="3">
        <v>2.0833333333333332E-2</v>
      </c>
      <c r="AA142">
        <v>0.5</v>
      </c>
      <c r="AB142" t="s">
        <v>56</v>
      </c>
      <c r="AC142" s="3">
        <v>0.23976851851851852</v>
      </c>
      <c r="AD142" t="s">
        <v>64</v>
      </c>
      <c r="AE142" t="s">
        <v>38</v>
      </c>
      <c r="AF142" t="s">
        <v>39</v>
      </c>
      <c r="AG142" t="s">
        <v>40</v>
      </c>
      <c r="AH142" s="3">
        <v>1.7002314814814814E-2</v>
      </c>
      <c r="AI142" t="s">
        <v>44</v>
      </c>
    </row>
    <row r="143" spans="1:35">
      <c r="A143">
        <v>22720</v>
      </c>
      <c r="B143" t="s">
        <v>262</v>
      </c>
      <c r="C143">
        <v>7634</v>
      </c>
      <c r="D143" t="s">
        <v>210</v>
      </c>
      <c r="E143">
        <v>3874</v>
      </c>
      <c r="F143" t="s">
        <v>211</v>
      </c>
      <c r="G143" s="1">
        <v>46074</v>
      </c>
      <c r="H143" t="s">
        <v>64</v>
      </c>
      <c r="I143" t="s">
        <v>45</v>
      </c>
      <c r="J143" t="s">
        <v>118</v>
      </c>
      <c r="K143" t="s">
        <v>179</v>
      </c>
      <c r="L143">
        <v>6433</v>
      </c>
      <c r="M143">
        <v>0</v>
      </c>
      <c r="N143">
        <v>0</v>
      </c>
      <c r="O143">
        <v>0</v>
      </c>
      <c r="P143" t="s">
        <v>99</v>
      </c>
      <c r="Q143" t="s">
        <v>224</v>
      </c>
      <c r="R143" t="s">
        <v>36</v>
      </c>
      <c r="S143" t="s">
        <v>180</v>
      </c>
      <c r="T143" s="2">
        <v>46074.646898148145</v>
      </c>
      <c r="U143" s="2">
        <v>46074.652141203704</v>
      </c>
      <c r="V143" s="3">
        <v>5.2430555555555555E-3</v>
      </c>
      <c r="W143" t="s">
        <v>49</v>
      </c>
      <c r="X143">
        <v>1</v>
      </c>
      <c r="Y143">
        <v>2</v>
      </c>
      <c r="Z143" s="3">
        <v>2.0833333333333332E-2</v>
      </c>
      <c r="AA143">
        <v>0.5</v>
      </c>
      <c r="AB143" t="s">
        <v>48</v>
      </c>
      <c r="AC143" s="3">
        <v>0.27322916666666669</v>
      </c>
      <c r="AD143" t="s">
        <v>64</v>
      </c>
      <c r="AE143" t="s">
        <v>38</v>
      </c>
      <c r="AF143" t="s">
        <v>39</v>
      </c>
      <c r="AG143" t="s">
        <v>40</v>
      </c>
      <c r="AH143" s="3">
        <v>2.0486111111111113E-3</v>
      </c>
      <c r="AI143" t="s">
        <v>44</v>
      </c>
    </row>
    <row r="144" spans="1:35">
      <c r="A144">
        <v>22720</v>
      </c>
      <c r="B144" t="s">
        <v>262</v>
      </c>
      <c r="C144">
        <v>7634</v>
      </c>
      <c r="D144" t="s">
        <v>210</v>
      </c>
      <c r="E144">
        <v>3874</v>
      </c>
      <c r="F144" t="s">
        <v>211</v>
      </c>
      <c r="G144" s="1">
        <v>46074</v>
      </c>
      <c r="H144" t="s">
        <v>64</v>
      </c>
      <c r="I144" t="s">
        <v>45</v>
      </c>
      <c r="J144" t="s">
        <v>105</v>
      </c>
      <c r="K144" t="s">
        <v>177</v>
      </c>
      <c r="L144">
        <v>2338</v>
      </c>
      <c r="M144">
        <v>0</v>
      </c>
      <c r="N144">
        <v>0</v>
      </c>
      <c r="O144">
        <v>0</v>
      </c>
      <c r="P144" t="s">
        <v>52</v>
      </c>
      <c r="Q144" t="s">
        <v>140</v>
      </c>
      <c r="R144" t="s">
        <v>36</v>
      </c>
      <c r="S144" t="s">
        <v>178</v>
      </c>
      <c r="T144" s="2">
        <v>46074.271458333336</v>
      </c>
      <c r="U144" s="2">
        <v>46074.288923611108</v>
      </c>
      <c r="V144" s="3">
        <v>1.7465277777777777E-2</v>
      </c>
      <c r="W144" t="s">
        <v>60</v>
      </c>
      <c r="X144">
        <v>9</v>
      </c>
      <c r="Y144">
        <v>27</v>
      </c>
      <c r="Z144" s="3">
        <v>1.3888888888888888E-2</v>
      </c>
      <c r="AA144">
        <v>0.33</v>
      </c>
      <c r="AB144" t="s">
        <v>48</v>
      </c>
      <c r="AC144" s="3">
        <v>0.27322916666666669</v>
      </c>
      <c r="AD144" t="s">
        <v>64</v>
      </c>
      <c r="AE144" t="s">
        <v>38</v>
      </c>
      <c r="AF144" t="s">
        <v>39</v>
      </c>
      <c r="AG144" t="s">
        <v>40</v>
      </c>
      <c r="AH144" s="3">
        <v>2.0486111111111113E-3</v>
      </c>
      <c r="AI144" t="s">
        <v>44</v>
      </c>
    </row>
    <row r="145" spans="1:35">
      <c r="A145">
        <v>22720</v>
      </c>
      <c r="B145" t="s">
        <v>262</v>
      </c>
      <c r="C145">
        <v>7634</v>
      </c>
      <c r="D145" t="s">
        <v>210</v>
      </c>
      <c r="E145">
        <v>3874</v>
      </c>
      <c r="F145" t="s">
        <v>211</v>
      </c>
      <c r="G145" s="1">
        <v>46074</v>
      </c>
      <c r="H145" t="s">
        <v>64</v>
      </c>
      <c r="I145" t="s">
        <v>45</v>
      </c>
      <c r="J145" t="s">
        <v>146</v>
      </c>
      <c r="K145" t="s">
        <v>222</v>
      </c>
      <c r="L145">
        <v>100828</v>
      </c>
      <c r="M145">
        <v>0</v>
      </c>
      <c r="N145">
        <v>0</v>
      </c>
      <c r="O145">
        <v>0</v>
      </c>
      <c r="P145" t="s">
        <v>52</v>
      </c>
      <c r="Q145" t="s">
        <v>140</v>
      </c>
      <c r="R145" t="s">
        <v>36</v>
      </c>
      <c r="S145" t="s">
        <v>97</v>
      </c>
      <c r="T145" s="2">
        <v>46074.372615740744</v>
      </c>
      <c r="U145" s="2">
        <v>46074.544386574074</v>
      </c>
      <c r="V145" s="3">
        <v>4.5393518518518521E-2</v>
      </c>
      <c r="W145" t="s">
        <v>60</v>
      </c>
      <c r="X145">
        <v>17</v>
      </c>
      <c r="Y145">
        <v>23</v>
      </c>
      <c r="Z145" s="3">
        <v>3.078703703703704E-2</v>
      </c>
      <c r="AA145">
        <v>0.74</v>
      </c>
      <c r="AB145" t="s">
        <v>48</v>
      </c>
      <c r="AC145" s="3">
        <v>0.27322916666666669</v>
      </c>
      <c r="AD145" t="s">
        <v>64</v>
      </c>
      <c r="AE145" t="s">
        <v>38</v>
      </c>
      <c r="AF145" t="s">
        <v>39</v>
      </c>
      <c r="AG145" t="s">
        <v>40</v>
      </c>
      <c r="AH145" s="3">
        <v>2.0486111111111113E-3</v>
      </c>
      <c r="AI145" t="s">
        <v>44</v>
      </c>
    </row>
    <row r="146" spans="1:35">
      <c r="A146">
        <v>22720</v>
      </c>
      <c r="B146" t="s">
        <v>262</v>
      </c>
      <c r="C146">
        <v>7634</v>
      </c>
      <c r="D146" t="s">
        <v>210</v>
      </c>
      <c r="E146">
        <v>3874</v>
      </c>
      <c r="F146" t="s">
        <v>211</v>
      </c>
      <c r="G146" s="1">
        <v>46074</v>
      </c>
      <c r="H146" t="s">
        <v>64</v>
      </c>
      <c r="I146" t="s">
        <v>45</v>
      </c>
      <c r="J146" t="s">
        <v>105</v>
      </c>
      <c r="K146" t="s">
        <v>254</v>
      </c>
      <c r="L146">
        <v>978</v>
      </c>
      <c r="M146">
        <v>0</v>
      </c>
      <c r="N146">
        <v>0</v>
      </c>
      <c r="O146">
        <v>0</v>
      </c>
      <c r="P146" t="s">
        <v>52</v>
      </c>
      <c r="Q146" t="s">
        <v>140</v>
      </c>
      <c r="R146" t="s">
        <v>36</v>
      </c>
      <c r="S146" t="s">
        <v>255</v>
      </c>
      <c r="T146" s="2">
        <v>46074.563483796293</v>
      </c>
      <c r="U146" s="2">
        <v>46074.571701388886</v>
      </c>
      <c r="V146" s="3">
        <v>8.217592592592594E-3</v>
      </c>
      <c r="W146" t="s">
        <v>60</v>
      </c>
      <c r="X146">
        <v>5</v>
      </c>
      <c r="Y146">
        <v>27</v>
      </c>
      <c r="Z146" s="3">
        <v>7.7083333333333335E-3</v>
      </c>
      <c r="AA146">
        <v>0.19</v>
      </c>
      <c r="AB146" t="s">
        <v>48</v>
      </c>
      <c r="AC146" s="3">
        <v>0.27322916666666669</v>
      </c>
      <c r="AD146" t="s">
        <v>64</v>
      </c>
      <c r="AE146" t="s">
        <v>38</v>
      </c>
      <c r="AF146" t="s">
        <v>39</v>
      </c>
      <c r="AG146" t="s">
        <v>40</v>
      </c>
      <c r="AH146" s="3">
        <v>2.0486111111111113E-3</v>
      </c>
      <c r="AI146" t="s">
        <v>44</v>
      </c>
    </row>
    <row r="147" spans="1:35">
      <c r="A147">
        <v>22720</v>
      </c>
      <c r="B147" t="s">
        <v>262</v>
      </c>
      <c r="C147">
        <v>7634</v>
      </c>
      <c r="D147" t="s">
        <v>210</v>
      </c>
      <c r="E147">
        <v>3874</v>
      </c>
      <c r="F147" t="s">
        <v>211</v>
      </c>
      <c r="G147" s="1">
        <v>46074</v>
      </c>
      <c r="H147" t="s">
        <v>64</v>
      </c>
      <c r="I147" t="s">
        <v>45</v>
      </c>
      <c r="J147" t="s">
        <v>105</v>
      </c>
      <c r="K147" t="s">
        <v>254</v>
      </c>
      <c r="L147">
        <v>970</v>
      </c>
      <c r="M147">
        <v>0</v>
      </c>
      <c r="N147">
        <v>0</v>
      </c>
      <c r="O147">
        <v>0</v>
      </c>
      <c r="P147" t="s">
        <v>52</v>
      </c>
      <c r="Q147" t="s">
        <v>140</v>
      </c>
      <c r="R147" t="s">
        <v>36</v>
      </c>
      <c r="S147" t="s">
        <v>255</v>
      </c>
      <c r="T147" s="2">
        <v>46074.548344907409</v>
      </c>
      <c r="U147" s="2">
        <v>46074.563379629632</v>
      </c>
      <c r="V147" s="3">
        <v>1.283564814814815E-2</v>
      </c>
      <c r="W147" t="s">
        <v>60</v>
      </c>
      <c r="X147">
        <v>6</v>
      </c>
      <c r="Y147">
        <v>27</v>
      </c>
      <c r="Z147" s="3">
        <v>9.2592592592592605E-3</v>
      </c>
      <c r="AA147">
        <v>0.22</v>
      </c>
      <c r="AB147" t="s">
        <v>48</v>
      </c>
      <c r="AC147" s="3">
        <v>0.27322916666666669</v>
      </c>
      <c r="AD147" t="s">
        <v>64</v>
      </c>
      <c r="AE147" t="s">
        <v>38</v>
      </c>
      <c r="AF147" t="s">
        <v>39</v>
      </c>
      <c r="AG147" t="s">
        <v>40</v>
      </c>
      <c r="AH147" s="3">
        <v>2.0486111111111113E-3</v>
      </c>
      <c r="AI147" t="s">
        <v>44</v>
      </c>
    </row>
    <row r="148" spans="1:35">
      <c r="A148">
        <v>22720</v>
      </c>
      <c r="B148" t="s">
        <v>262</v>
      </c>
      <c r="C148">
        <v>7634</v>
      </c>
      <c r="D148" t="s">
        <v>210</v>
      </c>
      <c r="E148">
        <v>3874</v>
      </c>
      <c r="F148" t="s">
        <v>211</v>
      </c>
      <c r="G148" s="1">
        <v>46074</v>
      </c>
      <c r="H148" t="s">
        <v>64</v>
      </c>
      <c r="I148" t="s">
        <v>45</v>
      </c>
      <c r="J148" t="s">
        <v>146</v>
      </c>
      <c r="K148" t="s">
        <v>154</v>
      </c>
      <c r="L148">
        <v>101373</v>
      </c>
      <c r="M148">
        <v>0</v>
      </c>
      <c r="N148">
        <v>0</v>
      </c>
      <c r="O148">
        <v>0</v>
      </c>
      <c r="P148" t="s">
        <v>52</v>
      </c>
      <c r="Q148" t="s">
        <v>140</v>
      </c>
      <c r="R148" t="s">
        <v>36</v>
      </c>
      <c r="S148" t="s">
        <v>97</v>
      </c>
      <c r="T148" s="2">
        <v>46074.438854166663</v>
      </c>
      <c r="U148" s="2">
        <v>46074.452210648145</v>
      </c>
      <c r="V148" s="3">
        <v>1.0289351851851852E-2</v>
      </c>
      <c r="W148" t="s">
        <v>60</v>
      </c>
      <c r="X148">
        <v>3</v>
      </c>
      <c r="Y148">
        <v>23</v>
      </c>
      <c r="Z148" s="3">
        <v>5.4282407407407404E-3</v>
      </c>
      <c r="AA148">
        <v>0.13</v>
      </c>
      <c r="AB148" t="s">
        <v>48</v>
      </c>
      <c r="AC148" s="3">
        <v>0.27322916666666669</v>
      </c>
      <c r="AD148" t="s">
        <v>64</v>
      </c>
      <c r="AE148" t="s">
        <v>38</v>
      </c>
      <c r="AF148" t="s">
        <v>39</v>
      </c>
      <c r="AG148" t="s">
        <v>40</v>
      </c>
      <c r="AH148" s="3">
        <v>2.0486111111111113E-3</v>
      </c>
      <c r="AI148" t="s">
        <v>44</v>
      </c>
    </row>
    <row r="149" spans="1:35">
      <c r="A149">
        <v>22720</v>
      </c>
      <c r="B149" t="s">
        <v>262</v>
      </c>
      <c r="C149">
        <v>7634</v>
      </c>
      <c r="D149" t="s">
        <v>210</v>
      </c>
      <c r="E149">
        <v>3874</v>
      </c>
      <c r="F149" t="s">
        <v>211</v>
      </c>
      <c r="G149" s="1">
        <v>46074</v>
      </c>
      <c r="H149" t="s">
        <v>64</v>
      </c>
      <c r="I149" t="s">
        <v>45</v>
      </c>
      <c r="J149" t="s">
        <v>146</v>
      </c>
      <c r="K149" t="s">
        <v>222</v>
      </c>
      <c r="L149">
        <v>100826</v>
      </c>
      <c r="M149">
        <v>0</v>
      </c>
      <c r="N149">
        <v>0</v>
      </c>
      <c r="O149">
        <v>0</v>
      </c>
      <c r="P149" t="s">
        <v>52</v>
      </c>
      <c r="Q149" t="s">
        <v>140</v>
      </c>
      <c r="R149" t="s">
        <v>36</v>
      </c>
      <c r="S149" t="s">
        <v>97</v>
      </c>
      <c r="T149" s="2">
        <v>46074.44903935185</v>
      </c>
      <c r="U149" s="2">
        <v>46074.54824074074</v>
      </c>
      <c r="V149" s="3">
        <v>5.31712962962963E-2</v>
      </c>
      <c r="W149" t="s">
        <v>60</v>
      </c>
      <c r="X149">
        <v>15</v>
      </c>
      <c r="Y149">
        <v>23</v>
      </c>
      <c r="Z149" s="3">
        <v>2.7164351851851853E-2</v>
      </c>
      <c r="AA149">
        <v>0.65</v>
      </c>
      <c r="AB149" t="s">
        <v>48</v>
      </c>
      <c r="AC149" s="3">
        <v>0.27322916666666669</v>
      </c>
      <c r="AD149" t="s">
        <v>64</v>
      </c>
      <c r="AE149" t="s">
        <v>38</v>
      </c>
      <c r="AF149" t="s">
        <v>39</v>
      </c>
      <c r="AG149" t="s">
        <v>40</v>
      </c>
      <c r="AH149" s="3">
        <v>2.0486111111111113E-3</v>
      </c>
      <c r="AI149" t="s">
        <v>44</v>
      </c>
    </row>
    <row r="150" spans="1:35">
      <c r="A150">
        <v>22720</v>
      </c>
      <c r="B150" t="s">
        <v>262</v>
      </c>
      <c r="C150">
        <v>7634</v>
      </c>
      <c r="D150" t="s">
        <v>210</v>
      </c>
      <c r="E150">
        <v>3874</v>
      </c>
      <c r="F150" t="s">
        <v>211</v>
      </c>
      <c r="G150" s="1">
        <v>46074</v>
      </c>
      <c r="H150" t="s">
        <v>64</v>
      </c>
      <c r="I150" t="s">
        <v>45</v>
      </c>
      <c r="J150" t="s">
        <v>105</v>
      </c>
      <c r="K150" t="s">
        <v>254</v>
      </c>
      <c r="L150">
        <v>973</v>
      </c>
      <c r="M150">
        <v>0</v>
      </c>
      <c r="N150">
        <v>0</v>
      </c>
      <c r="O150">
        <v>0</v>
      </c>
      <c r="P150" t="s">
        <v>52</v>
      </c>
      <c r="Q150" t="s">
        <v>140</v>
      </c>
      <c r="R150" t="s">
        <v>36</v>
      </c>
      <c r="S150" t="s">
        <v>255</v>
      </c>
      <c r="T150" s="2">
        <v>46074.42664351852</v>
      </c>
      <c r="U150" s="2">
        <v>46074.438703703701</v>
      </c>
      <c r="V150" s="3">
        <v>1.2060185185185186E-2</v>
      </c>
      <c r="W150" t="s">
        <v>60</v>
      </c>
      <c r="X150">
        <v>5</v>
      </c>
      <c r="Y150">
        <v>27</v>
      </c>
      <c r="Z150" s="3">
        <v>7.7083333333333335E-3</v>
      </c>
      <c r="AA150">
        <v>0.19</v>
      </c>
      <c r="AB150" t="s">
        <v>48</v>
      </c>
      <c r="AC150" s="3">
        <v>0.27322916666666669</v>
      </c>
      <c r="AD150" t="s">
        <v>64</v>
      </c>
      <c r="AE150" t="s">
        <v>38</v>
      </c>
      <c r="AF150" t="s">
        <v>39</v>
      </c>
      <c r="AG150" t="s">
        <v>40</v>
      </c>
      <c r="AH150" s="3">
        <v>2.0486111111111113E-3</v>
      </c>
      <c r="AI150" t="s">
        <v>44</v>
      </c>
    </row>
    <row r="151" spans="1:35">
      <c r="A151">
        <v>22720</v>
      </c>
      <c r="B151" t="s">
        <v>262</v>
      </c>
      <c r="C151">
        <v>7634</v>
      </c>
      <c r="D151" t="s">
        <v>210</v>
      </c>
      <c r="E151">
        <v>3874</v>
      </c>
      <c r="F151" t="s">
        <v>211</v>
      </c>
      <c r="G151" s="1">
        <v>46074</v>
      </c>
      <c r="H151" t="s">
        <v>64</v>
      </c>
      <c r="I151" t="s">
        <v>45</v>
      </c>
      <c r="J151" t="s">
        <v>118</v>
      </c>
      <c r="K151" t="s">
        <v>170</v>
      </c>
      <c r="L151">
        <v>5930</v>
      </c>
      <c r="M151">
        <v>0</v>
      </c>
      <c r="N151">
        <v>0</v>
      </c>
      <c r="O151">
        <v>0</v>
      </c>
      <c r="P151" t="s">
        <v>99</v>
      </c>
      <c r="Q151" t="s">
        <v>224</v>
      </c>
      <c r="R151" t="s">
        <v>36</v>
      </c>
      <c r="S151" t="s">
        <v>171</v>
      </c>
      <c r="T151" s="2">
        <v>46074.627129629633</v>
      </c>
      <c r="U151" s="2">
        <v>46074.645775462966</v>
      </c>
      <c r="V151" s="3">
        <v>1.8645833333333334E-2</v>
      </c>
      <c r="W151" t="s">
        <v>49</v>
      </c>
      <c r="X151">
        <v>1</v>
      </c>
      <c r="Y151">
        <v>2</v>
      </c>
      <c r="Z151" s="3">
        <v>2.0833333333333332E-2</v>
      </c>
      <c r="AA151">
        <v>0.5</v>
      </c>
      <c r="AB151" t="s">
        <v>48</v>
      </c>
      <c r="AC151" s="3">
        <v>0.27322916666666669</v>
      </c>
      <c r="AD151" t="s">
        <v>64</v>
      </c>
      <c r="AE151" t="s">
        <v>38</v>
      </c>
      <c r="AF151" t="s">
        <v>39</v>
      </c>
      <c r="AG151" t="s">
        <v>40</v>
      </c>
      <c r="AH151" s="3">
        <v>2.0486111111111113E-3</v>
      </c>
      <c r="AI151" t="s">
        <v>44</v>
      </c>
    </row>
    <row r="152" spans="1:35">
      <c r="A152">
        <v>22720</v>
      </c>
      <c r="B152" t="s">
        <v>262</v>
      </c>
      <c r="C152">
        <v>7634</v>
      </c>
      <c r="D152" t="s">
        <v>210</v>
      </c>
      <c r="E152">
        <v>3874</v>
      </c>
      <c r="F152" t="s">
        <v>211</v>
      </c>
      <c r="G152" s="1">
        <v>46074</v>
      </c>
      <c r="H152" t="s">
        <v>64</v>
      </c>
      <c r="I152" t="s">
        <v>45</v>
      </c>
      <c r="J152" t="s">
        <v>105</v>
      </c>
      <c r="K152" t="s">
        <v>254</v>
      </c>
      <c r="L152">
        <v>976</v>
      </c>
      <c r="M152">
        <v>0</v>
      </c>
      <c r="N152">
        <v>0</v>
      </c>
      <c r="O152">
        <v>0</v>
      </c>
      <c r="P152" t="s">
        <v>52</v>
      </c>
      <c r="Q152" t="s">
        <v>140</v>
      </c>
      <c r="R152" t="s">
        <v>36</v>
      </c>
      <c r="S152" t="s">
        <v>255</v>
      </c>
      <c r="T152" s="2">
        <v>46074.289074074077</v>
      </c>
      <c r="U152" s="2">
        <v>46074.304837962962</v>
      </c>
      <c r="V152" s="3">
        <v>1.5763888888888886E-2</v>
      </c>
      <c r="W152" t="s">
        <v>60</v>
      </c>
      <c r="X152">
        <v>13</v>
      </c>
      <c r="Y152">
        <v>27</v>
      </c>
      <c r="Z152" s="3">
        <v>2.0057870370370368E-2</v>
      </c>
      <c r="AA152">
        <v>0.48</v>
      </c>
      <c r="AB152" t="s">
        <v>48</v>
      </c>
      <c r="AC152" s="3">
        <v>0.27322916666666669</v>
      </c>
      <c r="AD152" t="s">
        <v>64</v>
      </c>
      <c r="AE152" t="s">
        <v>38</v>
      </c>
      <c r="AF152" t="s">
        <v>39</v>
      </c>
      <c r="AG152" t="s">
        <v>40</v>
      </c>
      <c r="AH152" s="3">
        <v>2.0486111111111113E-3</v>
      </c>
      <c r="AI152" t="s">
        <v>44</v>
      </c>
    </row>
    <row r="153" spans="1:35">
      <c r="A153">
        <v>22720</v>
      </c>
      <c r="B153" t="s">
        <v>262</v>
      </c>
      <c r="C153">
        <v>7634</v>
      </c>
      <c r="D153" t="s">
        <v>210</v>
      </c>
      <c r="E153">
        <v>3874</v>
      </c>
      <c r="F153" t="s">
        <v>211</v>
      </c>
      <c r="G153" s="1">
        <v>46074</v>
      </c>
      <c r="H153" t="s">
        <v>64</v>
      </c>
      <c r="I153" t="s">
        <v>45</v>
      </c>
      <c r="J153" t="s">
        <v>105</v>
      </c>
      <c r="K153" t="s">
        <v>106</v>
      </c>
      <c r="L153">
        <v>11748</v>
      </c>
      <c r="M153">
        <v>0</v>
      </c>
      <c r="N153">
        <v>0</v>
      </c>
      <c r="O153">
        <v>0</v>
      </c>
      <c r="P153" t="s">
        <v>52</v>
      </c>
      <c r="Q153" t="s">
        <v>140</v>
      </c>
      <c r="R153" t="s">
        <v>36</v>
      </c>
      <c r="S153" t="s">
        <v>107</v>
      </c>
      <c r="T153" s="2">
        <v>46074.305196759262</v>
      </c>
      <c r="U153" s="2">
        <v>46074.329085648147</v>
      </c>
      <c r="V153" s="3">
        <v>2.388888888888889E-2</v>
      </c>
      <c r="W153" t="s">
        <v>60</v>
      </c>
      <c r="X153">
        <v>22</v>
      </c>
      <c r="Y153">
        <v>27</v>
      </c>
      <c r="Z153" s="3">
        <v>3.394675925925926E-2</v>
      </c>
      <c r="AA153">
        <v>0.81</v>
      </c>
      <c r="AB153" t="s">
        <v>48</v>
      </c>
      <c r="AC153" s="3">
        <v>0.27322916666666669</v>
      </c>
      <c r="AD153" t="s">
        <v>64</v>
      </c>
      <c r="AE153" t="s">
        <v>38</v>
      </c>
      <c r="AF153" t="s">
        <v>39</v>
      </c>
      <c r="AG153" t="s">
        <v>40</v>
      </c>
      <c r="AH153" s="3">
        <v>2.0486111111111113E-3</v>
      </c>
      <c r="AI153" t="s">
        <v>44</v>
      </c>
    </row>
    <row r="154" spans="1:35">
      <c r="A154">
        <v>22720</v>
      </c>
      <c r="B154" t="s">
        <v>262</v>
      </c>
      <c r="C154">
        <v>7634</v>
      </c>
      <c r="D154" t="s">
        <v>210</v>
      </c>
      <c r="E154">
        <v>3874</v>
      </c>
      <c r="F154" t="s">
        <v>211</v>
      </c>
      <c r="G154" s="1">
        <v>46074</v>
      </c>
      <c r="H154" t="s">
        <v>64</v>
      </c>
      <c r="I154" t="s">
        <v>45</v>
      </c>
      <c r="J154" t="s">
        <v>105</v>
      </c>
      <c r="K154" t="s">
        <v>106</v>
      </c>
      <c r="L154">
        <v>11759</v>
      </c>
      <c r="M154">
        <v>0</v>
      </c>
      <c r="N154">
        <v>0</v>
      </c>
      <c r="O154">
        <v>0</v>
      </c>
      <c r="P154" t="s">
        <v>52</v>
      </c>
      <c r="Q154" t="s">
        <v>140</v>
      </c>
      <c r="R154" t="s">
        <v>36</v>
      </c>
      <c r="S154" t="s">
        <v>107</v>
      </c>
      <c r="T154" s="2">
        <v>46074.329236111109</v>
      </c>
      <c r="U154" s="2">
        <v>46074.372395833336</v>
      </c>
      <c r="V154" s="3">
        <v>4.3159722222222224E-2</v>
      </c>
      <c r="W154" t="s">
        <v>60</v>
      </c>
      <c r="X154">
        <v>36</v>
      </c>
      <c r="Y154">
        <v>27</v>
      </c>
      <c r="Z154" s="3">
        <v>5.5555555555555552E-2</v>
      </c>
      <c r="AA154">
        <v>1.33</v>
      </c>
      <c r="AB154" t="s">
        <v>48</v>
      </c>
      <c r="AC154" s="3">
        <v>0.27322916666666669</v>
      </c>
      <c r="AD154" t="s">
        <v>64</v>
      </c>
      <c r="AE154" t="s">
        <v>38</v>
      </c>
      <c r="AF154" t="s">
        <v>39</v>
      </c>
      <c r="AG154" t="s">
        <v>40</v>
      </c>
      <c r="AH154" s="3">
        <v>2.0486111111111113E-3</v>
      </c>
      <c r="AI154" t="s">
        <v>44</v>
      </c>
    </row>
    <row r="155" spans="1:35">
      <c r="A155">
        <v>22720</v>
      </c>
      <c r="B155" t="s">
        <v>262</v>
      </c>
      <c r="C155">
        <v>7634</v>
      </c>
      <c r="D155" t="s">
        <v>210</v>
      </c>
      <c r="E155">
        <v>3874</v>
      </c>
      <c r="F155" t="s">
        <v>211</v>
      </c>
      <c r="G155" s="1">
        <v>46074</v>
      </c>
      <c r="H155" t="s">
        <v>64</v>
      </c>
      <c r="I155" t="s">
        <v>45</v>
      </c>
      <c r="J155" t="s">
        <v>105</v>
      </c>
      <c r="K155" t="s">
        <v>254</v>
      </c>
      <c r="L155">
        <v>977</v>
      </c>
      <c r="M155">
        <v>0</v>
      </c>
      <c r="N155">
        <v>0</v>
      </c>
      <c r="O155">
        <v>0</v>
      </c>
      <c r="P155" t="s">
        <v>52</v>
      </c>
      <c r="Q155" t="s">
        <v>140</v>
      </c>
      <c r="R155" t="s">
        <v>36</v>
      </c>
      <c r="S155" t="s">
        <v>255</v>
      </c>
      <c r="T155" s="2">
        <v>46074.414004629631</v>
      </c>
      <c r="U155" s="2">
        <v>46074.426180555558</v>
      </c>
      <c r="V155" s="3">
        <v>1.2175925925925929E-2</v>
      </c>
      <c r="W155" t="s">
        <v>60</v>
      </c>
      <c r="X155">
        <v>13</v>
      </c>
      <c r="Y155">
        <v>27</v>
      </c>
      <c r="Z155" s="3">
        <v>2.0057870370370368E-2</v>
      </c>
      <c r="AA155">
        <v>0.48</v>
      </c>
      <c r="AB155" t="s">
        <v>48</v>
      </c>
      <c r="AC155" s="3">
        <v>0.27322916666666669</v>
      </c>
      <c r="AD155" t="s">
        <v>64</v>
      </c>
      <c r="AE155" t="s">
        <v>38</v>
      </c>
      <c r="AF155" t="s">
        <v>39</v>
      </c>
      <c r="AG155" t="s">
        <v>40</v>
      </c>
      <c r="AH155" s="3">
        <v>2.0486111111111113E-3</v>
      </c>
      <c r="AI155" t="s">
        <v>44</v>
      </c>
    </row>
    <row r="156" spans="1:35">
      <c r="A156">
        <v>22828</v>
      </c>
      <c r="B156" t="s">
        <v>263</v>
      </c>
      <c r="C156">
        <v>4175</v>
      </c>
      <c r="D156" t="s">
        <v>195</v>
      </c>
      <c r="E156">
        <v>3874</v>
      </c>
      <c r="F156" t="s">
        <v>211</v>
      </c>
      <c r="G156" s="1">
        <v>46074</v>
      </c>
      <c r="H156" t="s">
        <v>64</v>
      </c>
      <c r="I156" t="s">
        <v>45</v>
      </c>
      <c r="J156" t="s">
        <v>102</v>
      </c>
      <c r="K156" t="s">
        <v>216</v>
      </c>
      <c r="L156">
        <v>101515</v>
      </c>
      <c r="M156">
        <v>0</v>
      </c>
      <c r="N156">
        <v>0</v>
      </c>
      <c r="O156">
        <v>0</v>
      </c>
      <c r="P156" t="s">
        <v>52</v>
      </c>
      <c r="Q156" t="s">
        <v>140</v>
      </c>
      <c r="R156" t="s">
        <v>43</v>
      </c>
      <c r="S156" t="s">
        <v>217</v>
      </c>
      <c r="T156" s="2">
        <v>46073.578599537039</v>
      </c>
      <c r="U156" s="2">
        <v>46073.753993055558</v>
      </c>
      <c r="V156" s="3">
        <f>Z156</f>
        <v>1.329861111111111E-2</v>
      </c>
      <c r="W156" t="s">
        <v>60</v>
      </c>
      <c r="X156">
        <v>0</v>
      </c>
      <c r="Y156">
        <v>27</v>
      </c>
      <c r="Z156" s="3">
        <v>1.329861111111111E-2</v>
      </c>
      <c r="AA156">
        <v>0</v>
      </c>
      <c r="AB156" t="s">
        <v>48</v>
      </c>
      <c r="AC156" s="3">
        <v>2.7384259259259257E-2</v>
      </c>
      <c r="AD156" t="s">
        <v>64</v>
      </c>
      <c r="AE156" t="s">
        <v>38</v>
      </c>
      <c r="AF156" t="s">
        <v>46</v>
      </c>
      <c r="AG156" t="s">
        <v>47</v>
      </c>
      <c r="AH156" t="s">
        <v>35</v>
      </c>
      <c r="AI156" t="s">
        <v>44</v>
      </c>
    </row>
    <row r="157" spans="1:35">
      <c r="A157">
        <v>22828</v>
      </c>
      <c r="B157" t="s">
        <v>263</v>
      </c>
      <c r="C157">
        <v>4175</v>
      </c>
      <c r="D157" t="s">
        <v>195</v>
      </c>
      <c r="E157">
        <v>3874</v>
      </c>
      <c r="F157" t="s">
        <v>211</v>
      </c>
      <c r="G157" s="1">
        <v>46074</v>
      </c>
      <c r="H157" t="s">
        <v>64</v>
      </c>
      <c r="I157" t="s">
        <v>45</v>
      </c>
      <c r="J157" t="s">
        <v>102</v>
      </c>
      <c r="K157" t="s">
        <v>103</v>
      </c>
      <c r="L157">
        <v>33016</v>
      </c>
      <c r="M157">
        <v>0</v>
      </c>
      <c r="N157">
        <v>0</v>
      </c>
      <c r="O157">
        <v>0</v>
      </c>
      <c r="P157" t="s">
        <v>52</v>
      </c>
      <c r="Q157" t="s">
        <v>140</v>
      </c>
      <c r="R157" t="s">
        <v>43</v>
      </c>
      <c r="S157" t="s">
        <v>104</v>
      </c>
      <c r="T157" s="2">
        <v>46071.904699074075</v>
      </c>
      <c r="U157" s="2">
        <v>46072.856192129628</v>
      </c>
      <c r="V157" s="3">
        <f t="shared" ref="V157:V158" si="0">Z157</f>
        <v>1.4085648148148151E-2</v>
      </c>
      <c r="W157" t="s">
        <v>60</v>
      </c>
      <c r="X157">
        <v>0</v>
      </c>
      <c r="Y157">
        <v>27</v>
      </c>
      <c r="Z157" s="3">
        <v>1.4085648148148151E-2</v>
      </c>
      <c r="AA157">
        <v>0</v>
      </c>
      <c r="AB157" t="s">
        <v>48</v>
      </c>
      <c r="AC157" s="3">
        <v>2.7384259259259257E-2</v>
      </c>
      <c r="AD157" t="s">
        <v>64</v>
      </c>
      <c r="AE157" t="s">
        <v>38</v>
      </c>
      <c r="AF157" t="s">
        <v>46</v>
      </c>
      <c r="AG157" t="s">
        <v>47</v>
      </c>
      <c r="AH157" t="s">
        <v>35</v>
      </c>
      <c r="AI157" t="s">
        <v>44</v>
      </c>
    </row>
    <row r="158" spans="1:35">
      <c r="A158">
        <v>22833</v>
      </c>
      <c r="B158" t="s">
        <v>264</v>
      </c>
      <c r="C158">
        <v>4175</v>
      </c>
      <c r="D158" t="s">
        <v>195</v>
      </c>
      <c r="E158">
        <v>3874</v>
      </c>
      <c r="F158" t="s">
        <v>211</v>
      </c>
      <c r="G158" s="1">
        <v>46074</v>
      </c>
      <c r="H158" t="s">
        <v>64</v>
      </c>
      <c r="I158" t="s">
        <v>45</v>
      </c>
      <c r="J158" t="s">
        <v>118</v>
      </c>
      <c r="K158" t="s">
        <v>119</v>
      </c>
      <c r="L158">
        <v>5111</v>
      </c>
      <c r="M158">
        <v>0</v>
      </c>
      <c r="N158">
        <v>0</v>
      </c>
      <c r="O158">
        <v>0</v>
      </c>
      <c r="P158" t="s">
        <v>52</v>
      </c>
      <c r="Q158" t="s">
        <v>140</v>
      </c>
      <c r="R158" t="s">
        <v>43</v>
      </c>
      <c r="S158" t="s">
        <v>120</v>
      </c>
      <c r="T158" s="2">
        <v>46073.120370370372</v>
      </c>
      <c r="U158" s="2">
        <v>46073.973252314812</v>
      </c>
      <c r="V158" s="3">
        <f t="shared" si="0"/>
        <v>1.9189814814814816E-2</v>
      </c>
      <c r="W158" t="s">
        <v>60</v>
      </c>
      <c r="X158">
        <v>0</v>
      </c>
      <c r="Y158">
        <v>27</v>
      </c>
      <c r="Z158" s="3">
        <v>1.9189814814814816E-2</v>
      </c>
      <c r="AA158">
        <v>0</v>
      </c>
      <c r="AB158" t="s">
        <v>48</v>
      </c>
      <c r="AC158" s="3">
        <v>1.9189814814814816E-2</v>
      </c>
      <c r="AD158" t="s">
        <v>64</v>
      </c>
      <c r="AE158" t="s">
        <v>38</v>
      </c>
      <c r="AF158" t="s">
        <v>74</v>
      </c>
      <c r="AG158" t="s">
        <v>75</v>
      </c>
      <c r="AH158" t="s">
        <v>35</v>
      </c>
      <c r="AI158" t="s">
        <v>44</v>
      </c>
    </row>
    <row r="159" spans="1:35">
      <c r="A159">
        <v>22923</v>
      </c>
      <c r="B159" t="s">
        <v>265</v>
      </c>
      <c r="C159">
        <v>7634</v>
      </c>
      <c r="D159" t="s">
        <v>210</v>
      </c>
      <c r="E159">
        <v>3874</v>
      </c>
      <c r="F159" t="s">
        <v>211</v>
      </c>
      <c r="G159" s="1">
        <v>46074</v>
      </c>
      <c r="H159" t="s">
        <v>64</v>
      </c>
      <c r="I159" t="s">
        <v>45</v>
      </c>
      <c r="J159" t="s">
        <v>110</v>
      </c>
      <c r="K159" t="s">
        <v>248</v>
      </c>
      <c r="L159">
        <v>100062</v>
      </c>
      <c r="M159">
        <v>0</v>
      </c>
      <c r="N159">
        <v>0</v>
      </c>
      <c r="O159">
        <v>0</v>
      </c>
      <c r="P159" t="s">
        <v>99</v>
      </c>
      <c r="Q159" t="s">
        <v>224</v>
      </c>
      <c r="R159" t="s">
        <v>36</v>
      </c>
      <c r="S159" t="s">
        <v>87</v>
      </c>
      <c r="T159" s="2">
        <v>46074.585486111115</v>
      </c>
      <c r="U159" s="2">
        <v>46074.598749999997</v>
      </c>
      <c r="V159" s="3">
        <v>1.0104166666666668E-2</v>
      </c>
      <c r="W159" t="s">
        <v>49</v>
      </c>
      <c r="X159">
        <v>1</v>
      </c>
      <c r="Y159">
        <v>2</v>
      </c>
      <c r="Z159" s="3">
        <v>2.0833333333333332E-2</v>
      </c>
      <c r="AA159">
        <v>0.5</v>
      </c>
      <c r="AB159" t="s">
        <v>48</v>
      </c>
      <c r="AC159" s="3">
        <v>0.3420138888888889</v>
      </c>
      <c r="AD159" t="s">
        <v>64</v>
      </c>
      <c r="AE159" t="s">
        <v>38</v>
      </c>
      <c r="AF159" t="s">
        <v>46</v>
      </c>
      <c r="AG159" t="s">
        <v>47</v>
      </c>
      <c r="AH159" t="s">
        <v>35</v>
      </c>
      <c r="AI159" t="s">
        <v>44</v>
      </c>
    </row>
    <row r="160" spans="1:35">
      <c r="A160">
        <v>22923</v>
      </c>
      <c r="B160" t="s">
        <v>265</v>
      </c>
      <c r="C160">
        <v>7634</v>
      </c>
      <c r="D160" t="s">
        <v>210</v>
      </c>
      <c r="E160">
        <v>3874</v>
      </c>
      <c r="F160" t="s">
        <v>211</v>
      </c>
      <c r="G160" s="1">
        <v>46074</v>
      </c>
      <c r="H160" t="s">
        <v>64</v>
      </c>
      <c r="I160" t="s">
        <v>45</v>
      </c>
      <c r="J160" t="s">
        <v>59</v>
      </c>
      <c r="K160" t="s">
        <v>68</v>
      </c>
      <c r="L160">
        <v>20918</v>
      </c>
      <c r="M160">
        <v>0</v>
      </c>
      <c r="N160">
        <v>0</v>
      </c>
      <c r="O160">
        <v>0</v>
      </c>
      <c r="P160" t="s">
        <v>99</v>
      </c>
      <c r="Q160" t="s">
        <v>266</v>
      </c>
      <c r="R160" t="s">
        <v>36</v>
      </c>
      <c r="S160" t="s">
        <v>69</v>
      </c>
      <c r="T160" s="2">
        <v>46074.590497685182</v>
      </c>
      <c r="U160" s="2">
        <v>46074.590798611112</v>
      </c>
      <c r="V160" s="3">
        <v>3.0092592592592595E-4</v>
      </c>
      <c r="W160" t="s">
        <v>49</v>
      </c>
      <c r="X160">
        <v>1</v>
      </c>
      <c r="Y160">
        <v>8</v>
      </c>
      <c r="Z160" s="3">
        <v>5.208333333333333E-3</v>
      </c>
      <c r="AA160">
        <v>0.12</v>
      </c>
      <c r="AB160" t="s">
        <v>48</v>
      </c>
      <c r="AC160" s="3">
        <v>0.3420138888888889</v>
      </c>
      <c r="AD160" t="s">
        <v>64</v>
      </c>
      <c r="AE160" t="s">
        <v>38</v>
      </c>
      <c r="AF160" t="s">
        <v>46</v>
      </c>
      <c r="AG160" t="s">
        <v>47</v>
      </c>
      <c r="AH160" t="s">
        <v>35</v>
      </c>
      <c r="AI160" t="s">
        <v>44</v>
      </c>
    </row>
    <row r="161" spans="1:35">
      <c r="A161">
        <v>22923</v>
      </c>
      <c r="B161" t="s">
        <v>265</v>
      </c>
      <c r="C161">
        <v>7634</v>
      </c>
      <c r="D161" t="s">
        <v>210</v>
      </c>
      <c r="E161">
        <v>3874</v>
      </c>
      <c r="F161" t="s">
        <v>211</v>
      </c>
      <c r="G161" s="1">
        <v>46074</v>
      </c>
      <c r="H161" t="s">
        <v>64</v>
      </c>
      <c r="I161" t="s">
        <v>45</v>
      </c>
      <c r="J161" t="s">
        <v>59</v>
      </c>
      <c r="K161" t="s">
        <v>68</v>
      </c>
      <c r="L161">
        <v>20920</v>
      </c>
      <c r="M161">
        <v>0</v>
      </c>
      <c r="N161">
        <v>0</v>
      </c>
      <c r="O161">
        <v>0</v>
      </c>
      <c r="P161" t="s">
        <v>99</v>
      </c>
      <c r="Q161" t="s">
        <v>266</v>
      </c>
      <c r="R161" t="s">
        <v>36</v>
      </c>
      <c r="S161" t="s">
        <v>69</v>
      </c>
      <c r="T161" s="2">
        <v>46074.591249999998</v>
      </c>
      <c r="U161" s="2">
        <v>46074.591400462959</v>
      </c>
      <c r="V161" s="3">
        <v>1.5046296296296297E-4</v>
      </c>
      <c r="W161" t="s">
        <v>49</v>
      </c>
      <c r="X161">
        <v>1</v>
      </c>
      <c r="Y161">
        <v>8</v>
      </c>
      <c r="Z161" s="3">
        <v>5.208333333333333E-3</v>
      </c>
      <c r="AA161">
        <v>0.12</v>
      </c>
      <c r="AB161" t="s">
        <v>48</v>
      </c>
      <c r="AC161" s="3">
        <v>0.3420138888888889</v>
      </c>
      <c r="AD161" t="s">
        <v>64</v>
      </c>
      <c r="AE161" t="s">
        <v>38</v>
      </c>
      <c r="AF161" t="s">
        <v>46</v>
      </c>
      <c r="AG161" t="s">
        <v>47</v>
      </c>
      <c r="AH161" t="s">
        <v>35</v>
      </c>
      <c r="AI161" t="s">
        <v>44</v>
      </c>
    </row>
    <row r="162" spans="1:35">
      <c r="A162">
        <v>22923</v>
      </c>
      <c r="B162" t="s">
        <v>265</v>
      </c>
      <c r="C162">
        <v>7634</v>
      </c>
      <c r="D162" t="s">
        <v>210</v>
      </c>
      <c r="E162">
        <v>3874</v>
      </c>
      <c r="F162" t="s">
        <v>211</v>
      </c>
      <c r="G162" s="1">
        <v>46074</v>
      </c>
      <c r="H162" t="s">
        <v>64</v>
      </c>
      <c r="I162" t="s">
        <v>45</v>
      </c>
      <c r="J162" t="s">
        <v>102</v>
      </c>
      <c r="K162" t="s">
        <v>150</v>
      </c>
      <c r="L162">
        <v>107397</v>
      </c>
      <c r="M162">
        <v>0</v>
      </c>
      <c r="N162">
        <v>0</v>
      </c>
      <c r="O162">
        <v>0</v>
      </c>
      <c r="P162" t="s">
        <v>99</v>
      </c>
      <c r="Q162" t="s">
        <v>223</v>
      </c>
      <c r="R162" t="s">
        <v>36</v>
      </c>
      <c r="S162" t="s">
        <v>151</v>
      </c>
      <c r="T162" s="2">
        <v>46074.826956018522</v>
      </c>
      <c r="U162" s="2">
        <v>46074.8437962963</v>
      </c>
      <c r="V162" s="3">
        <v>1.6840277777777777E-2</v>
      </c>
      <c r="W162" t="s">
        <v>49</v>
      </c>
      <c r="X162">
        <v>1</v>
      </c>
      <c r="Y162">
        <v>3</v>
      </c>
      <c r="Z162" s="3">
        <v>1.3888888888888888E-2</v>
      </c>
      <c r="AA162">
        <v>0.33</v>
      </c>
      <c r="AB162" t="s">
        <v>48</v>
      </c>
      <c r="AC162" s="3">
        <v>0.3420138888888889</v>
      </c>
      <c r="AD162" t="s">
        <v>64</v>
      </c>
      <c r="AE162" t="s">
        <v>38</v>
      </c>
      <c r="AF162" t="s">
        <v>46</v>
      </c>
      <c r="AG162" t="s">
        <v>47</v>
      </c>
      <c r="AH162" t="s">
        <v>35</v>
      </c>
      <c r="AI162" t="s">
        <v>44</v>
      </c>
    </row>
    <row r="163" spans="1:35">
      <c r="A163">
        <v>22923</v>
      </c>
      <c r="B163" t="s">
        <v>265</v>
      </c>
      <c r="C163">
        <v>7634</v>
      </c>
      <c r="D163" t="s">
        <v>210</v>
      </c>
      <c r="E163">
        <v>3874</v>
      </c>
      <c r="F163" t="s">
        <v>211</v>
      </c>
      <c r="G163" s="1">
        <v>46074</v>
      </c>
      <c r="H163" t="s">
        <v>64</v>
      </c>
      <c r="I163" t="s">
        <v>45</v>
      </c>
      <c r="J163" t="s">
        <v>59</v>
      </c>
      <c r="K163" t="s">
        <v>68</v>
      </c>
      <c r="L163">
        <v>20921</v>
      </c>
      <c r="M163">
        <v>0</v>
      </c>
      <c r="N163">
        <v>0</v>
      </c>
      <c r="O163">
        <v>0</v>
      </c>
      <c r="P163" t="s">
        <v>99</v>
      </c>
      <c r="Q163" t="s">
        <v>266</v>
      </c>
      <c r="R163" t="s">
        <v>36</v>
      </c>
      <c r="S163" t="s">
        <v>69</v>
      </c>
      <c r="T163" s="2">
        <v>46074.591562499998</v>
      </c>
      <c r="U163" s="2">
        <v>46074.59170138889</v>
      </c>
      <c r="V163" s="3">
        <v>1.3888888888888889E-4</v>
      </c>
      <c r="W163" t="s">
        <v>49</v>
      </c>
      <c r="X163">
        <v>1</v>
      </c>
      <c r="Y163">
        <v>8</v>
      </c>
      <c r="Z163" s="3">
        <v>5.208333333333333E-3</v>
      </c>
      <c r="AA163">
        <v>0.12</v>
      </c>
      <c r="AB163" t="s">
        <v>48</v>
      </c>
      <c r="AC163" s="3">
        <v>0.3420138888888889</v>
      </c>
      <c r="AD163" t="s">
        <v>64</v>
      </c>
      <c r="AE163" t="s">
        <v>38</v>
      </c>
      <c r="AF163" t="s">
        <v>46</v>
      </c>
      <c r="AG163" t="s">
        <v>47</v>
      </c>
      <c r="AH163" t="s">
        <v>35</v>
      </c>
      <c r="AI163" t="s">
        <v>44</v>
      </c>
    </row>
    <row r="164" spans="1:35">
      <c r="A164">
        <v>22923</v>
      </c>
      <c r="B164" t="s">
        <v>265</v>
      </c>
      <c r="C164">
        <v>7634</v>
      </c>
      <c r="D164" t="s">
        <v>210</v>
      </c>
      <c r="E164">
        <v>3874</v>
      </c>
      <c r="F164" t="s">
        <v>211</v>
      </c>
      <c r="G164" s="1">
        <v>46074</v>
      </c>
      <c r="H164" t="s">
        <v>64</v>
      </c>
      <c r="I164" t="s">
        <v>45</v>
      </c>
      <c r="J164" t="s">
        <v>118</v>
      </c>
      <c r="K164" t="s">
        <v>267</v>
      </c>
      <c r="L164">
        <v>238</v>
      </c>
      <c r="M164">
        <v>0</v>
      </c>
      <c r="N164">
        <v>0</v>
      </c>
      <c r="O164">
        <v>0</v>
      </c>
      <c r="P164" t="s">
        <v>99</v>
      </c>
      <c r="Q164" t="s">
        <v>223</v>
      </c>
      <c r="R164" t="s">
        <v>36</v>
      </c>
      <c r="S164" t="s">
        <v>203</v>
      </c>
      <c r="T164" s="2">
        <v>46074.804270833331</v>
      </c>
      <c r="U164" s="2">
        <v>46074.826504629629</v>
      </c>
      <c r="V164" s="3">
        <v>2.2233796296296297E-2</v>
      </c>
      <c r="W164" t="s">
        <v>49</v>
      </c>
      <c r="X164">
        <v>1</v>
      </c>
      <c r="Y164">
        <v>1</v>
      </c>
      <c r="Z164" s="3">
        <v>4.1666666666666664E-2</v>
      </c>
      <c r="AA164">
        <v>1</v>
      </c>
      <c r="AB164" t="s">
        <v>48</v>
      </c>
      <c r="AC164" s="3">
        <v>0.3420138888888889</v>
      </c>
      <c r="AD164" t="s">
        <v>64</v>
      </c>
      <c r="AE164" t="s">
        <v>38</v>
      </c>
      <c r="AF164" t="s">
        <v>46</v>
      </c>
      <c r="AG164" t="s">
        <v>47</v>
      </c>
      <c r="AH164" t="s">
        <v>35</v>
      </c>
      <c r="AI164" t="s">
        <v>44</v>
      </c>
    </row>
    <row r="165" spans="1:35">
      <c r="A165">
        <v>22923</v>
      </c>
      <c r="B165" t="s">
        <v>265</v>
      </c>
      <c r="C165">
        <v>7634</v>
      </c>
      <c r="D165" t="s">
        <v>210</v>
      </c>
      <c r="E165">
        <v>3874</v>
      </c>
      <c r="F165" t="s">
        <v>211</v>
      </c>
      <c r="G165" s="1">
        <v>46074</v>
      </c>
      <c r="H165" t="s">
        <v>64</v>
      </c>
      <c r="I165" t="s">
        <v>45</v>
      </c>
      <c r="J165" t="s">
        <v>85</v>
      </c>
      <c r="K165" t="s">
        <v>93</v>
      </c>
      <c r="L165">
        <v>5189</v>
      </c>
      <c r="M165">
        <v>0</v>
      </c>
      <c r="N165">
        <v>0</v>
      </c>
      <c r="O165">
        <v>0</v>
      </c>
      <c r="P165" t="s">
        <v>99</v>
      </c>
      <c r="Q165" t="s">
        <v>224</v>
      </c>
      <c r="R165" t="s">
        <v>36</v>
      </c>
      <c r="S165" t="s">
        <v>94</v>
      </c>
      <c r="T165" s="2">
        <v>46074.755266203705</v>
      </c>
      <c r="U165" s="2">
        <v>46074.779583333337</v>
      </c>
      <c r="V165" s="3">
        <v>2.431712962962963E-2</v>
      </c>
      <c r="W165" t="s">
        <v>49</v>
      </c>
      <c r="X165">
        <v>1</v>
      </c>
      <c r="Y165">
        <v>1</v>
      </c>
      <c r="Z165" s="3">
        <v>4.1666666666666664E-2</v>
      </c>
      <c r="AA165">
        <v>1</v>
      </c>
      <c r="AB165" t="s">
        <v>48</v>
      </c>
      <c r="AC165" s="3">
        <v>0.3420138888888889</v>
      </c>
      <c r="AD165" t="s">
        <v>64</v>
      </c>
      <c r="AE165" t="s">
        <v>38</v>
      </c>
      <c r="AF165" t="s">
        <v>46</v>
      </c>
      <c r="AG165" t="s">
        <v>47</v>
      </c>
      <c r="AH165" t="s">
        <v>35</v>
      </c>
      <c r="AI165" t="s">
        <v>44</v>
      </c>
    </row>
    <row r="166" spans="1:35">
      <c r="A166">
        <v>22923</v>
      </c>
      <c r="B166" t="s">
        <v>265</v>
      </c>
      <c r="C166">
        <v>7634</v>
      </c>
      <c r="D166" t="s">
        <v>210</v>
      </c>
      <c r="E166">
        <v>3874</v>
      </c>
      <c r="F166" t="s">
        <v>211</v>
      </c>
      <c r="G166" s="1">
        <v>46074</v>
      </c>
      <c r="H166" t="s">
        <v>64</v>
      </c>
      <c r="I166" t="s">
        <v>45</v>
      </c>
      <c r="J166" t="s">
        <v>82</v>
      </c>
      <c r="K166" t="s">
        <v>187</v>
      </c>
      <c r="L166">
        <v>100258</v>
      </c>
      <c r="M166">
        <v>0</v>
      </c>
      <c r="N166">
        <v>0</v>
      </c>
      <c r="O166">
        <v>0</v>
      </c>
      <c r="P166" t="s">
        <v>99</v>
      </c>
      <c r="Q166" t="s">
        <v>224</v>
      </c>
      <c r="R166" t="s">
        <v>36</v>
      </c>
      <c r="S166" t="s">
        <v>97</v>
      </c>
      <c r="T166" s="2">
        <v>46074.780358796299</v>
      </c>
      <c r="U166" s="2">
        <v>46074.804097222222</v>
      </c>
      <c r="V166" s="3">
        <v>2.3738425925925923E-2</v>
      </c>
      <c r="W166" t="s">
        <v>49</v>
      </c>
      <c r="X166">
        <v>1</v>
      </c>
      <c r="Y166">
        <v>2</v>
      </c>
      <c r="Z166" s="3">
        <v>2.0833333333333332E-2</v>
      </c>
      <c r="AA166">
        <v>0.5</v>
      </c>
      <c r="AB166" t="s">
        <v>48</v>
      </c>
      <c r="AC166" s="3">
        <v>0.3420138888888889</v>
      </c>
      <c r="AD166" t="s">
        <v>64</v>
      </c>
      <c r="AE166" t="s">
        <v>38</v>
      </c>
      <c r="AF166" t="s">
        <v>46</v>
      </c>
      <c r="AG166" t="s">
        <v>47</v>
      </c>
      <c r="AH166" t="s">
        <v>35</v>
      </c>
      <c r="AI166" t="s">
        <v>44</v>
      </c>
    </row>
    <row r="167" spans="1:35">
      <c r="A167">
        <v>22923</v>
      </c>
      <c r="B167" t="s">
        <v>265</v>
      </c>
      <c r="C167">
        <v>7634</v>
      </c>
      <c r="D167" t="s">
        <v>210</v>
      </c>
      <c r="E167">
        <v>3874</v>
      </c>
      <c r="F167" t="s">
        <v>211</v>
      </c>
      <c r="G167" s="1">
        <v>46074</v>
      </c>
      <c r="H167" t="s">
        <v>64</v>
      </c>
      <c r="I167" t="s">
        <v>45</v>
      </c>
      <c r="J167" t="s">
        <v>110</v>
      </c>
      <c r="K167" t="s">
        <v>111</v>
      </c>
      <c r="L167">
        <v>100153</v>
      </c>
      <c r="M167">
        <v>0</v>
      </c>
      <c r="N167">
        <v>0</v>
      </c>
      <c r="O167">
        <v>0</v>
      </c>
      <c r="P167" t="s">
        <v>99</v>
      </c>
      <c r="Q167" t="s">
        <v>224</v>
      </c>
      <c r="R167" t="s">
        <v>36</v>
      </c>
      <c r="S167" t="s">
        <v>97</v>
      </c>
      <c r="T167" s="2">
        <v>46074.634004629632</v>
      </c>
      <c r="U167" s="2">
        <v>46074.649155092593</v>
      </c>
      <c r="V167" s="3">
        <v>1.5150462962962963E-2</v>
      </c>
      <c r="W167" t="s">
        <v>49</v>
      </c>
      <c r="X167">
        <v>1</v>
      </c>
      <c r="Y167">
        <v>2</v>
      </c>
      <c r="Z167" s="3">
        <v>2.0833333333333332E-2</v>
      </c>
      <c r="AA167">
        <v>0.5</v>
      </c>
      <c r="AB167" t="s">
        <v>48</v>
      </c>
      <c r="AC167" s="3">
        <v>0.3420138888888889</v>
      </c>
      <c r="AD167" t="s">
        <v>64</v>
      </c>
      <c r="AE167" t="s">
        <v>38</v>
      </c>
      <c r="AF167" t="s">
        <v>46</v>
      </c>
      <c r="AG167" t="s">
        <v>47</v>
      </c>
      <c r="AH167" t="s">
        <v>35</v>
      </c>
      <c r="AI167" t="s">
        <v>44</v>
      </c>
    </row>
    <row r="168" spans="1:35">
      <c r="A168">
        <v>22923</v>
      </c>
      <c r="B168" t="s">
        <v>265</v>
      </c>
      <c r="C168">
        <v>7634</v>
      </c>
      <c r="D168" t="s">
        <v>210</v>
      </c>
      <c r="E168">
        <v>3874</v>
      </c>
      <c r="F168" t="s">
        <v>211</v>
      </c>
      <c r="G168" s="1">
        <v>46074</v>
      </c>
      <c r="H168" t="s">
        <v>64</v>
      </c>
      <c r="I168" t="s">
        <v>45</v>
      </c>
      <c r="J168" t="s">
        <v>59</v>
      </c>
      <c r="K168" t="s">
        <v>68</v>
      </c>
      <c r="L168">
        <v>20917</v>
      </c>
      <c r="M168">
        <v>0</v>
      </c>
      <c r="N168">
        <v>0</v>
      </c>
      <c r="O168">
        <v>0</v>
      </c>
      <c r="P168" t="s">
        <v>99</v>
      </c>
      <c r="Q168" t="s">
        <v>266</v>
      </c>
      <c r="R168" t="s">
        <v>36</v>
      </c>
      <c r="S168" t="s">
        <v>69</v>
      </c>
      <c r="T168" s="2">
        <v>46074.590138888889</v>
      </c>
      <c r="U168" s="2">
        <v>46074.590266203704</v>
      </c>
      <c r="V168" s="3">
        <v>1.273148148148148E-4</v>
      </c>
      <c r="W168" t="s">
        <v>49</v>
      </c>
      <c r="X168">
        <v>1</v>
      </c>
      <c r="Y168">
        <v>8</v>
      </c>
      <c r="Z168" s="3">
        <v>5.208333333333333E-3</v>
      </c>
      <c r="AA168">
        <v>0.12</v>
      </c>
      <c r="AB168" t="s">
        <v>48</v>
      </c>
      <c r="AC168" s="3">
        <v>0.3420138888888889</v>
      </c>
      <c r="AD168" t="s">
        <v>64</v>
      </c>
      <c r="AE168" t="s">
        <v>38</v>
      </c>
      <c r="AF168" t="s">
        <v>46</v>
      </c>
      <c r="AG168" t="s">
        <v>47</v>
      </c>
      <c r="AH168" t="s">
        <v>35</v>
      </c>
      <c r="AI168" t="s">
        <v>44</v>
      </c>
    </row>
    <row r="169" spans="1:35">
      <c r="A169">
        <v>22923</v>
      </c>
      <c r="B169" t="s">
        <v>265</v>
      </c>
      <c r="C169">
        <v>7634</v>
      </c>
      <c r="D169" t="s">
        <v>210</v>
      </c>
      <c r="E169">
        <v>3874</v>
      </c>
      <c r="F169" t="s">
        <v>211</v>
      </c>
      <c r="G169" s="1">
        <v>46074</v>
      </c>
      <c r="H169" t="s">
        <v>64</v>
      </c>
      <c r="I169" t="s">
        <v>45</v>
      </c>
      <c r="J169" t="s">
        <v>102</v>
      </c>
      <c r="K169" t="s">
        <v>150</v>
      </c>
      <c r="L169">
        <v>107398</v>
      </c>
      <c r="M169">
        <v>0</v>
      </c>
      <c r="N169">
        <v>0</v>
      </c>
      <c r="O169">
        <v>0</v>
      </c>
      <c r="P169" t="s">
        <v>99</v>
      </c>
      <c r="Q169" t="s">
        <v>223</v>
      </c>
      <c r="R169" t="s">
        <v>36</v>
      </c>
      <c r="S169" t="s">
        <v>151</v>
      </c>
      <c r="T169" s="2">
        <v>46074.742361111108</v>
      </c>
      <c r="U169" s="2">
        <v>46074.755173611113</v>
      </c>
      <c r="V169" s="3">
        <v>1.2812499999999999E-2</v>
      </c>
      <c r="W169" t="s">
        <v>49</v>
      </c>
      <c r="X169">
        <v>1</v>
      </c>
      <c r="Y169">
        <v>3</v>
      </c>
      <c r="Z169" s="3">
        <v>1.3888888888888888E-2</v>
      </c>
      <c r="AA169">
        <v>0.33</v>
      </c>
      <c r="AB169" t="s">
        <v>48</v>
      </c>
      <c r="AC169" s="3">
        <v>0.3420138888888889</v>
      </c>
      <c r="AD169" t="s">
        <v>64</v>
      </c>
      <c r="AE169" t="s">
        <v>38</v>
      </c>
      <c r="AF169" t="s">
        <v>46</v>
      </c>
      <c r="AG169" t="s">
        <v>47</v>
      </c>
      <c r="AH169" t="s">
        <v>35</v>
      </c>
      <c r="AI169" t="s">
        <v>44</v>
      </c>
    </row>
    <row r="170" spans="1:35">
      <c r="A170">
        <v>22923</v>
      </c>
      <c r="B170" t="s">
        <v>265</v>
      </c>
      <c r="C170">
        <v>7634</v>
      </c>
      <c r="D170" t="s">
        <v>210</v>
      </c>
      <c r="E170">
        <v>3874</v>
      </c>
      <c r="F170" t="s">
        <v>211</v>
      </c>
      <c r="G170" s="1">
        <v>46074</v>
      </c>
      <c r="H170" t="s">
        <v>64</v>
      </c>
      <c r="I170" t="s">
        <v>45</v>
      </c>
      <c r="J170" t="s">
        <v>146</v>
      </c>
      <c r="K170" t="s">
        <v>227</v>
      </c>
      <c r="L170">
        <v>101635</v>
      </c>
      <c r="M170">
        <v>0</v>
      </c>
      <c r="N170">
        <v>0</v>
      </c>
      <c r="O170">
        <v>0</v>
      </c>
      <c r="P170" t="s">
        <v>99</v>
      </c>
      <c r="Q170" t="s">
        <v>223</v>
      </c>
      <c r="R170" t="s">
        <v>36</v>
      </c>
      <c r="S170" t="s">
        <v>97</v>
      </c>
      <c r="T170" s="2">
        <v>46074.664259259262</v>
      </c>
      <c r="U170" s="2">
        <v>46074.68241898148</v>
      </c>
      <c r="V170" s="3">
        <v>1.8159722222222219E-2</v>
      </c>
      <c r="W170" t="s">
        <v>49</v>
      </c>
      <c r="X170">
        <v>1</v>
      </c>
      <c r="Y170">
        <v>2</v>
      </c>
      <c r="Z170" s="3">
        <v>2.0833333333333332E-2</v>
      </c>
      <c r="AA170">
        <v>0.5</v>
      </c>
      <c r="AB170" t="s">
        <v>48</v>
      </c>
      <c r="AC170" s="3">
        <v>0.3420138888888889</v>
      </c>
      <c r="AD170" t="s">
        <v>64</v>
      </c>
      <c r="AE170" t="s">
        <v>38</v>
      </c>
      <c r="AF170" t="s">
        <v>46</v>
      </c>
      <c r="AG170" t="s">
        <v>47</v>
      </c>
      <c r="AH170" t="s">
        <v>35</v>
      </c>
      <c r="AI170" t="s">
        <v>44</v>
      </c>
    </row>
    <row r="171" spans="1:35">
      <c r="A171">
        <v>22923</v>
      </c>
      <c r="B171" t="s">
        <v>265</v>
      </c>
      <c r="C171">
        <v>7634</v>
      </c>
      <c r="D171" t="s">
        <v>210</v>
      </c>
      <c r="E171">
        <v>3874</v>
      </c>
      <c r="F171" t="s">
        <v>211</v>
      </c>
      <c r="G171" s="1">
        <v>46074</v>
      </c>
      <c r="H171" t="s">
        <v>64</v>
      </c>
      <c r="I171" t="s">
        <v>45</v>
      </c>
      <c r="J171" t="s">
        <v>102</v>
      </c>
      <c r="K171" t="s">
        <v>150</v>
      </c>
      <c r="L171">
        <v>107280</v>
      </c>
      <c r="M171">
        <v>0</v>
      </c>
      <c r="N171">
        <v>0</v>
      </c>
      <c r="O171">
        <v>0</v>
      </c>
      <c r="P171" t="s">
        <v>99</v>
      </c>
      <c r="Q171" t="s">
        <v>223</v>
      </c>
      <c r="R171" t="s">
        <v>36</v>
      </c>
      <c r="S171" t="s">
        <v>151</v>
      </c>
      <c r="T171" s="2">
        <v>46074.616111111114</v>
      </c>
      <c r="U171" s="2">
        <v>46074.633692129632</v>
      </c>
      <c r="V171" s="3">
        <v>1.758101851851852E-2</v>
      </c>
      <c r="W171" t="s">
        <v>49</v>
      </c>
      <c r="X171">
        <v>1</v>
      </c>
      <c r="Y171">
        <v>3</v>
      </c>
      <c r="Z171" s="3">
        <v>1.3888888888888888E-2</v>
      </c>
      <c r="AA171">
        <v>0.33</v>
      </c>
      <c r="AB171" t="s">
        <v>48</v>
      </c>
      <c r="AC171" s="3">
        <v>0.3420138888888889</v>
      </c>
      <c r="AD171" t="s">
        <v>64</v>
      </c>
      <c r="AE171" t="s">
        <v>38</v>
      </c>
      <c r="AF171" t="s">
        <v>46</v>
      </c>
      <c r="AG171" t="s">
        <v>47</v>
      </c>
      <c r="AH171" t="s">
        <v>35</v>
      </c>
      <c r="AI171" t="s">
        <v>44</v>
      </c>
    </row>
    <row r="172" spans="1:35">
      <c r="A172">
        <v>22923</v>
      </c>
      <c r="B172" t="s">
        <v>265</v>
      </c>
      <c r="C172">
        <v>7634</v>
      </c>
      <c r="D172" t="s">
        <v>210</v>
      </c>
      <c r="E172">
        <v>3874</v>
      </c>
      <c r="F172" t="s">
        <v>211</v>
      </c>
      <c r="G172" s="1">
        <v>46074</v>
      </c>
      <c r="H172" t="s">
        <v>64</v>
      </c>
      <c r="I172" t="s">
        <v>45</v>
      </c>
      <c r="J172" t="s">
        <v>59</v>
      </c>
      <c r="K172" t="s">
        <v>68</v>
      </c>
      <c r="L172">
        <v>20919</v>
      </c>
      <c r="M172">
        <v>0</v>
      </c>
      <c r="N172">
        <v>0</v>
      </c>
      <c r="O172">
        <v>0</v>
      </c>
      <c r="P172" t="s">
        <v>99</v>
      </c>
      <c r="Q172" t="s">
        <v>266</v>
      </c>
      <c r="R172" t="s">
        <v>36</v>
      </c>
      <c r="S172" t="s">
        <v>69</v>
      </c>
      <c r="T172" s="2">
        <v>46074.590949074074</v>
      </c>
      <c r="U172" s="2">
        <v>46074.591122685182</v>
      </c>
      <c r="V172" s="3">
        <v>1.7361111111111112E-4</v>
      </c>
      <c r="W172" t="s">
        <v>49</v>
      </c>
      <c r="X172">
        <v>1</v>
      </c>
      <c r="Y172">
        <v>8</v>
      </c>
      <c r="Z172" s="3">
        <v>5.208333333333333E-3</v>
      </c>
      <c r="AA172">
        <v>0.12</v>
      </c>
      <c r="AB172" t="s">
        <v>48</v>
      </c>
      <c r="AC172" s="3">
        <v>0.3420138888888889</v>
      </c>
      <c r="AD172" t="s">
        <v>64</v>
      </c>
      <c r="AE172" t="s">
        <v>38</v>
      </c>
      <c r="AF172" t="s">
        <v>46</v>
      </c>
      <c r="AG172" t="s">
        <v>47</v>
      </c>
      <c r="AH172" t="s">
        <v>35</v>
      </c>
      <c r="AI172" t="s">
        <v>44</v>
      </c>
    </row>
    <row r="173" spans="1:35">
      <c r="A173">
        <v>22923</v>
      </c>
      <c r="B173" t="s">
        <v>265</v>
      </c>
      <c r="C173">
        <v>7634</v>
      </c>
      <c r="D173" t="s">
        <v>210</v>
      </c>
      <c r="E173">
        <v>3874</v>
      </c>
      <c r="F173" t="s">
        <v>211</v>
      </c>
      <c r="G173" s="1">
        <v>46074</v>
      </c>
      <c r="H173" t="s">
        <v>64</v>
      </c>
      <c r="I173" t="s">
        <v>45</v>
      </c>
      <c r="J173" t="s">
        <v>59</v>
      </c>
      <c r="K173" t="s">
        <v>68</v>
      </c>
      <c r="L173">
        <v>20923</v>
      </c>
      <c r="M173">
        <v>0</v>
      </c>
      <c r="N173">
        <v>0</v>
      </c>
      <c r="O173">
        <v>0</v>
      </c>
      <c r="P173" t="s">
        <v>99</v>
      </c>
      <c r="Q173" t="s">
        <v>266</v>
      </c>
      <c r="R173" t="s">
        <v>36</v>
      </c>
      <c r="S173" t="s">
        <v>69</v>
      </c>
      <c r="T173" s="2">
        <v>46074.591828703706</v>
      </c>
      <c r="U173" s="2">
        <v>46074.592048611114</v>
      </c>
      <c r="V173" s="3">
        <v>2.199074074074074E-4</v>
      </c>
      <c r="W173" t="s">
        <v>49</v>
      </c>
      <c r="X173">
        <v>1</v>
      </c>
      <c r="Y173">
        <v>8</v>
      </c>
      <c r="Z173" s="3">
        <v>5.208333333333333E-3</v>
      </c>
      <c r="AA173">
        <v>0.12</v>
      </c>
      <c r="AB173" t="s">
        <v>48</v>
      </c>
      <c r="AC173" s="3">
        <v>0.3420138888888889</v>
      </c>
      <c r="AD173" t="s">
        <v>64</v>
      </c>
      <c r="AE173" t="s">
        <v>38</v>
      </c>
      <c r="AF173" t="s">
        <v>46</v>
      </c>
      <c r="AG173" t="s">
        <v>47</v>
      </c>
      <c r="AH173" t="s">
        <v>35</v>
      </c>
      <c r="AI173" t="s">
        <v>44</v>
      </c>
    </row>
    <row r="174" spans="1:35">
      <c r="A174">
        <v>22923</v>
      </c>
      <c r="B174" t="s">
        <v>265</v>
      </c>
      <c r="C174">
        <v>7634</v>
      </c>
      <c r="D174" t="s">
        <v>210</v>
      </c>
      <c r="E174">
        <v>3874</v>
      </c>
      <c r="F174" t="s">
        <v>211</v>
      </c>
      <c r="G174" s="1">
        <v>46074</v>
      </c>
      <c r="H174" t="s">
        <v>64</v>
      </c>
      <c r="I174" t="s">
        <v>45</v>
      </c>
      <c r="J174" t="s">
        <v>110</v>
      </c>
      <c r="K174" t="s">
        <v>241</v>
      </c>
      <c r="L174">
        <v>100074</v>
      </c>
      <c r="M174">
        <v>0</v>
      </c>
      <c r="N174">
        <v>0</v>
      </c>
      <c r="O174">
        <v>0</v>
      </c>
      <c r="P174" t="s">
        <v>99</v>
      </c>
      <c r="Q174" t="s">
        <v>224</v>
      </c>
      <c r="R174" t="s">
        <v>36</v>
      </c>
      <c r="S174" t="s">
        <v>87</v>
      </c>
      <c r="T174" s="2">
        <v>46074.568530092591</v>
      </c>
      <c r="U174" s="2">
        <v>46074.585312499999</v>
      </c>
      <c r="V174" s="3">
        <v>1.6782407407407409E-2</v>
      </c>
      <c r="W174" t="s">
        <v>49</v>
      </c>
      <c r="X174">
        <v>1</v>
      </c>
      <c r="Y174">
        <v>2</v>
      </c>
      <c r="Z174" s="3">
        <v>2.0833333333333332E-2</v>
      </c>
      <c r="AA174">
        <v>0.5</v>
      </c>
      <c r="AB174" t="s">
        <v>48</v>
      </c>
      <c r="AC174" s="3">
        <v>0.3420138888888889</v>
      </c>
      <c r="AD174" t="s">
        <v>64</v>
      </c>
      <c r="AE174" t="s">
        <v>38</v>
      </c>
      <c r="AF174" t="s">
        <v>46</v>
      </c>
      <c r="AG174" t="s">
        <v>47</v>
      </c>
      <c r="AH174" t="s">
        <v>35</v>
      </c>
      <c r="AI174" t="s">
        <v>44</v>
      </c>
    </row>
    <row r="175" spans="1:35">
      <c r="A175">
        <v>22923</v>
      </c>
      <c r="B175" t="s">
        <v>265</v>
      </c>
      <c r="C175">
        <v>7634</v>
      </c>
      <c r="D175" t="s">
        <v>210</v>
      </c>
      <c r="E175">
        <v>3874</v>
      </c>
      <c r="F175" t="s">
        <v>211</v>
      </c>
      <c r="G175" s="1">
        <v>46074</v>
      </c>
      <c r="H175" t="s">
        <v>64</v>
      </c>
      <c r="I175" t="s">
        <v>45</v>
      </c>
      <c r="J175" t="s">
        <v>102</v>
      </c>
      <c r="K175" t="s">
        <v>150</v>
      </c>
      <c r="L175">
        <v>107471</v>
      </c>
      <c r="M175">
        <v>0</v>
      </c>
      <c r="N175">
        <v>0</v>
      </c>
      <c r="O175">
        <v>0</v>
      </c>
      <c r="P175" t="s">
        <v>99</v>
      </c>
      <c r="Q175" t="s">
        <v>223</v>
      </c>
      <c r="R175" t="s">
        <v>36</v>
      </c>
      <c r="S175" t="s">
        <v>151</v>
      </c>
      <c r="T175" s="2">
        <v>46074.61078703704</v>
      </c>
      <c r="U175" s="2">
        <v>46074.615937499999</v>
      </c>
      <c r="V175" s="3">
        <v>5.1504629629629635E-3</v>
      </c>
      <c r="W175" t="s">
        <v>49</v>
      </c>
      <c r="X175">
        <v>1</v>
      </c>
      <c r="Y175">
        <v>3</v>
      </c>
      <c r="Z175" s="3">
        <v>1.3888888888888888E-2</v>
      </c>
      <c r="AA175">
        <v>0.33</v>
      </c>
      <c r="AB175" t="s">
        <v>48</v>
      </c>
      <c r="AC175" s="3">
        <v>0.3420138888888889</v>
      </c>
      <c r="AD175" t="s">
        <v>64</v>
      </c>
      <c r="AE175" t="s">
        <v>38</v>
      </c>
      <c r="AF175" t="s">
        <v>46</v>
      </c>
      <c r="AG175" t="s">
        <v>47</v>
      </c>
      <c r="AH175" t="s">
        <v>35</v>
      </c>
      <c r="AI175" t="s">
        <v>44</v>
      </c>
    </row>
    <row r="176" spans="1:35">
      <c r="A176">
        <v>22923</v>
      </c>
      <c r="B176" t="s">
        <v>265</v>
      </c>
      <c r="C176">
        <v>7634</v>
      </c>
      <c r="D176" t="s">
        <v>210</v>
      </c>
      <c r="E176">
        <v>3874</v>
      </c>
      <c r="F176" t="s">
        <v>211</v>
      </c>
      <c r="G176" s="1">
        <v>46074</v>
      </c>
      <c r="H176" t="s">
        <v>64</v>
      </c>
      <c r="I176" t="s">
        <v>45</v>
      </c>
      <c r="J176" t="s">
        <v>110</v>
      </c>
      <c r="K176" t="s">
        <v>230</v>
      </c>
      <c r="L176">
        <v>100210</v>
      </c>
      <c r="M176">
        <v>0</v>
      </c>
      <c r="N176">
        <v>0</v>
      </c>
      <c r="O176">
        <v>0</v>
      </c>
      <c r="P176" t="s">
        <v>99</v>
      </c>
      <c r="Q176" t="s">
        <v>224</v>
      </c>
      <c r="R176" t="s">
        <v>36</v>
      </c>
      <c r="S176" t="s">
        <v>97</v>
      </c>
      <c r="T176" s="2">
        <v>46074.599050925928</v>
      </c>
      <c r="U176" s="2">
        <v>46074.610706018517</v>
      </c>
      <c r="V176" s="3">
        <v>1.1655092592592594E-2</v>
      </c>
      <c r="W176" t="s">
        <v>49</v>
      </c>
      <c r="X176">
        <v>1</v>
      </c>
      <c r="Y176">
        <v>2</v>
      </c>
      <c r="Z176" s="3">
        <v>2.0833333333333332E-2</v>
      </c>
      <c r="AA176">
        <v>0.5</v>
      </c>
      <c r="AB176" t="s">
        <v>48</v>
      </c>
      <c r="AC176" s="3">
        <v>0.3420138888888889</v>
      </c>
      <c r="AD176" t="s">
        <v>64</v>
      </c>
      <c r="AE176" t="s">
        <v>38</v>
      </c>
      <c r="AF176" t="s">
        <v>46</v>
      </c>
      <c r="AG176" t="s">
        <v>47</v>
      </c>
      <c r="AH176" t="s">
        <v>35</v>
      </c>
      <c r="AI176" t="s">
        <v>44</v>
      </c>
    </row>
    <row r="177" spans="1:35">
      <c r="A177">
        <v>22923</v>
      </c>
      <c r="B177" t="s">
        <v>265</v>
      </c>
      <c r="C177">
        <v>7634</v>
      </c>
      <c r="D177" t="s">
        <v>210</v>
      </c>
      <c r="E177">
        <v>3874</v>
      </c>
      <c r="F177" t="s">
        <v>211</v>
      </c>
      <c r="G177" s="1">
        <v>46074</v>
      </c>
      <c r="H177" t="s">
        <v>64</v>
      </c>
      <c r="I177" t="s">
        <v>45</v>
      </c>
      <c r="J177" t="s">
        <v>110</v>
      </c>
      <c r="K177" t="s">
        <v>111</v>
      </c>
      <c r="L177">
        <v>100152</v>
      </c>
      <c r="M177">
        <v>0</v>
      </c>
      <c r="N177">
        <v>0</v>
      </c>
      <c r="O177">
        <v>0</v>
      </c>
      <c r="P177" t="s">
        <v>99</v>
      </c>
      <c r="Q177" t="s">
        <v>224</v>
      </c>
      <c r="R177" t="s">
        <v>36</v>
      </c>
      <c r="S177" t="s">
        <v>97</v>
      </c>
      <c r="T177" s="2">
        <v>46074.73165509259</v>
      </c>
      <c r="U177" s="2">
        <v>46074.742118055554</v>
      </c>
      <c r="V177" s="3">
        <v>1.0462962962962964E-2</v>
      </c>
      <c r="W177" t="s">
        <v>49</v>
      </c>
      <c r="X177">
        <v>1</v>
      </c>
      <c r="Y177">
        <v>2</v>
      </c>
      <c r="Z177" s="3">
        <v>2.0833333333333332E-2</v>
      </c>
      <c r="AA177">
        <v>0.5</v>
      </c>
      <c r="AB177" t="s">
        <v>48</v>
      </c>
      <c r="AC177" s="3">
        <v>0.3420138888888889</v>
      </c>
      <c r="AD177" t="s">
        <v>64</v>
      </c>
      <c r="AE177" t="s">
        <v>38</v>
      </c>
      <c r="AF177" t="s">
        <v>46</v>
      </c>
      <c r="AG177" t="s">
        <v>47</v>
      </c>
      <c r="AH177" t="s">
        <v>35</v>
      </c>
      <c r="AI177" t="s">
        <v>44</v>
      </c>
    </row>
    <row r="178" spans="1:35">
      <c r="A178">
        <v>22923</v>
      </c>
      <c r="B178" t="s">
        <v>265</v>
      </c>
      <c r="C178">
        <v>7634</v>
      </c>
      <c r="D178" t="s">
        <v>210</v>
      </c>
      <c r="E178">
        <v>3874</v>
      </c>
      <c r="F178" t="s">
        <v>211</v>
      </c>
      <c r="G178" s="1">
        <v>46074</v>
      </c>
      <c r="H178" t="s">
        <v>64</v>
      </c>
      <c r="I178" t="s">
        <v>45</v>
      </c>
      <c r="J178" t="s">
        <v>110</v>
      </c>
      <c r="K178" t="s">
        <v>111</v>
      </c>
      <c r="L178">
        <v>100151</v>
      </c>
      <c r="M178">
        <v>0</v>
      </c>
      <c r="N178">
        <v>0</v>
      </c>
      <c r="O178">
        <v>0</v>
      </c>
      <c r="P178" t="s">
        <v>99</v>
      </c>
      <c r="Q178" t="s">
        <v>224</v>
      </c>
      <c r="R178" t="s">
        <v>36</v>
      </c>
      <c r="S178" t="s">
        <v>97</v>
      </c>
      <c r="T178" s="2">
        <v>46074.649317129632</v>
      </c>
      <c r="U178" s="2">
        <v>46074.664027777777</v>
      </c>
      <c r="V178" s="3">
        <v>1.4710648148148148E-2</v>
      </c>
      <c r="W178" t="s">
        <v>49</v>
      </c>
      <c r="X178">
        <v>1</v>
      </c>
      <c r="Y178">
        <v>2</v>
      </c>
      <c r="Z178" s="3">
        <v>2.0833333333333332E-2</v>
      </c>
      <c r="AA178">
        <v>0.5</v>
      </c>
      <c r="AB178" t="s">
        <v>48</v>
      </c>
      <c r="AC178" s="3">
        <v>0.3420138888888889</v>
      </c>
      <c r="AD178" t="s">
        <v>64</v>
      </c>
      <c r="AE178" t="s">
        <v>38</v>
      </c>
      <c r="AF178" t="s">
        <v>46</v>
      </c>
      <c r="AG178" t="s">
        <v>47</v>
      </c>
      <c r="AH178" t="s">
        <v>35</v>
      </c>
      <c r="AI178" t="s">
        <v>44</v>
      </c>
    </row>
    <row r="179" spans="1:35">
      <c r="A179">
        <v>22923</v>
      </c>
      <c r="B179" t="s">
        <v>265</v>
      </c>
      <c r="C179">
        <v>7634</v>
      </c>
      <c r="D179" t="s">
        <v>210</v>
      </c>
      <c r="E179">
        <v>3874</v>
      </c>
      <c r="F179" t="s">
        <v>211</v>
      </c>
      <c r="G179" s="1">
        <v>46074</v>
      </c>
      <c r="H179" t="s">
        <v>64</v>
      </c>
      <c r="I179" t="s">
        <v>45</v>
      </c>
      <c r="J179" t="s">
        <v>59</v>
      </c>
      <c r="K179" t="s">
        <v>68</v>
      </c>
      <c r="L179">
        <v>20930</v>
      </c>
      <c r="M179">
        <v>0</v>
      </c>
      <c r="N179">
        <v>0</v>
      </c>
      <c r="O179">
        <v>0</v>
      </c>
      <c r="P179" t="s">
        <v>99</v>
      </c>
      <c r="Q179" t="s">
        <v>266</v>
      </c>
      <c r="R179" t="s">
        <v>36</v>
      </c>
      <c r="S179" t="s">
        <v>69</v>
      </c>
      <c r="T179" s="2">
        <v>46074.592175925929</v>
      </c>
      <c r="U179" s="2">
        <v>46074.592743055553</v>
      </c>
      <c r="V179" s="3">
        <v>5.6712962962962956E-4</v>
      </c>
      <c r="W179" t="s">
        <v>49</v>
      </c>
      <c r="X179">
        <v>1</v>
      </c>
      <c r="Y179">
        <v>8</v>
      </c>
      <c r="Z179" s="3">
        <v>5.208333333333333E-3</v>
      </c>
      <c r="AA179">
        <v>0.12</v>
      </c>
      <c r="AB179" t="s">
        <v>48</v>
      </c>
      <c r="AC179" s="3">
        <v>0.3420138888888889</v>
      </c>
      <c r="AD179" t="s">
        <v>64</v>
      </c>
      <c r="AE179" t="s">
        <v>38</v>
      </c>
      <c r="AF179" t="s">
        <v>46</v>
      </c>
      <c r="AG179" t="s">
        <v>47</v>
      </c>
      <c r="AH179" t="s">
        <v>35</v>
      </c>
      <c r="AI179" t="s">
        <v>44</v>
      </c>
    </row>
    <row r="180" spans="1:35">
      <c r="A180">
        <v>22924</v>
      </c>
      <c r="B180" t="s">
        <v>293</v>
      </c>
      <c r="C180">
        <v>7634</v>
      </c>
      <c r="D180" t="s">
        <v>210</v>
      </c>
      <c r="E180">
        <v>3874</v>
      </c>
      <c r="F180" t="s">
        <v>211</v>
      </c>
      <c r="G180" s="1">
        <v>46074</v>
      </c>
      <c r="H180" t="s">
        <v>64</v>
      </c>
      <c r="I180" t="s">
        <v>45</v>
      </c>
      <c r="J180" t="s">
        <v>132</v>
      </c>
      <c r="K180" t="s">
        <v>161</v>
      </c>
      <c r="L180">
        <v>100980</v>
      </c>
      <c r="M180">
        <v>0</v>
      </c>
      <c r="N180">
        <v>0</v>
      </c>
      <c r="O180">
        <v>0</v>
      </c>
      <c r="P180" t="s">
        <v>99</v>
      </c>
      <c r="Q180" t="s">
        <v>224</v>
      </c>
      <c r="R180" t="s">
        <v>36</v>
      </c>
      <c r="S180" t="s">
        <v>97</v>
      </c>
      <c r="T180" s="2">
        <v>46074.428622685184</v>
      </c>
      <c r="U180" s="2">
        <v>46074.44458333333</v>
      </c>
      <c r="V180" s="3">
        <v>1.5960648148148151E-2</v>
      </c>
      <c r="W180" t="s">
        <v>49</v>
      </c>
      <c r="X180">
        <v>1</v>
      </c>
      <c r="Y180">
        <v>2</v>
      </c>
      <c r="Z180" s="3">
        <v>2.0833333333333332E-2</v>
      </c>
      <c r="AA180">
        <v>0.5</v>
      </c>
      <c r="AB180" t="s">
        <v>48</v>
      </c>
      <c r="AC180" s="3">
        <v>0.3125</v>
      </c>
      <c r="AD180" t="s">
        <v>64</v>
      </c>
      <c r="AE180" t="s">
        <v>38</v>
      </c>
      <c r="AF180" t="s">
        <v>39</v>
      </c>
      <c r="AG180" t="s">
        <v>40</v>
      </c>
      <c r="AH180" t="s">
        <v>35</v>
      </c>
      <c r="AI180" t="s">
        <v>44</v>
      </c>
    </row>
    <row r="181" spans="1:35">
      <c r="A181">
        <v>22924</v>
      </c>
      <c r="B181" t="s">
        <v>293</v>
      </c>
      <c r="C181">
        <v>7634</v>
      </c>
      <c r="D181" t="s">
        <v>210</v>
      </c>
      <c r="E181">
        <v>3874</v>
      </c>
      <c r="F181" t="s">
        <v>211</v>
      </c>
      <c r="G181" s="1">
        <v>46074</v>
      </c>
      <c r="H181" t="s">
        <v>64</v>
      </c>
      <c r="I181" t="s">
        <v>45</v>
      </c>
      <c r="J181" t="s">
        <v>105</v>
      </c>
      <c r="K181" t="s">
        <v>177</v>
      </c>
      <c r="L181">
        <v>2347</v>
      </c>
      <c r="M181">
        <v>0</v>
      </c>
      <c r="N181">
        <v>0</v>
      </c>
      <c r="O181">
        <v>0</v>
      </c>
      <c r="P181" t="s">
        <v>99</v>
      </c>
      <c r="Q181" t="s">
        <v>224</v>
      </c>
      <c r="R181" t="s">
        <v>36</v>
      </c>
      <c r="S181" t="s">
        <v>178</v>
      </c>
      <c r="T181" s="2">
        <v>46074.367662037039</v>
      </c>
      <c r="U181" s="2">
        <v>46074.494120370371</v>
      </c>
      <c r="V181" s="3">
        <v>1.8101851851851852E-2</v>
      </c>
      <c r="W181" t="s">
        <v>49</v>
      </c>
      <c r="X181">
        <v>1</v>
      </c>
      <c r="Y181">
        <v>2</v>
      </c>
      <c r="Z181" s="3">
        <v>2.0833333333333332E-2</v>
      </c>
      <c r="AA181">
        <v>0.5</v>
      </c>
      <c r="AB181" t="s">
        <v>48</v>
      </c>
      <c r="AC181" s="3">
        <v>0.3125</v>
      </c>
      <c r="AD181" t="s">
        <v>64</v>
      </c>
      <c r="AE181" t="s">
        <v>38</v>
      </c>
      <c r="AF181" t="s">
        <v>39</v>
      </c>
      <c r="AG181" t="s">
        <v>40</v>
      </c>
      <c r="AH181" t="s">
        <v>35</v>
      </c>
      <c r="AI181" t="s">
        <v>44</v>
      </c>
    </row>
    <row r="182" spans="1:35">
      <c r="A182">
        <v>22924</v>
      </c>
      <c r="B182" t="s">
        <v>293</v>
      </c>
      <c r="C182">
        <v>7634</v>
      </c>
      <c r="D182" t="s">
        <v>210</v>
      </c>
      <c r="E182">
        <v>3874</v>
      </c>
      <c r="F182" t="s">
        <v>211</v>
      </c>
      <c r="G182" s="1">
        <v>46074</v>
      </c>
      <c r="H182" t="s">
        <v>64</v>
      </c>
      <c r="I182" t="s">
        <v>45</v>
      </c>
      <c r="J182" t="s">
        <v>82</v>
      </c>
      <c r="K182" t="s">
        <v>184</v>
      </c>
      <c r="L182">
        <v>100127</v>
      </c>
      <c r="M182">
        <v>0</v>
      </c>
      <c r="N182">
        <v>0</v>
      </c>
      <c r="O182">
        <v>0</v>
      </c>
      <c r="P182" t="s">
        <v>99</v>
      </c>
      <c r="Q182" t="s">
        <v>224</v>
      </c>
      <c r="R182" t="s">
        <v>36</v>
      </c>
      <c r="S182" t="s">
        <v>97</v>
      </c>
      <c r="T182" s="2">
        <v>46074.314976851849</v>
      </c>
      <c r="U182" s="2">
        <v>46074.346851851849</v>
      </c>
      <c r="V182" s="3">
        <v>3.1875000000000001E-2</v>
      </c>
      <c r="W182" t="s">
        <v>49</v>
      </c>
      <c r="X182">
        <v>1</v>
      </c>
      <c r="Y182">
        <v>2</v>
      </c>
      <c r="Z182" s="3">
        <v>2.0833333333333332E-2</v>
      </c>
      <c r="AA182">
        <v>0.5</v>
      </c>
      <c r="AB182" t="s">
        <v>48</v>
      </c>
      <c r="AC182" s="3">
        <v>0.3125</v>
      </c>
      <c r="AD182" t="s">
        <v>64</v>
      </c>
      <c r="AE182" t="s">
        <v>38</v>
      </c>
      <c r="AF182" t="s">
        <v>39</v>
      </c>
      <c r="AG182" t="s">
        <v>40</v>
      </c>
      <c r="AH182" t="s">
        <v>35</v>
      </c>
      <c r="AI182" t="s">
        <v>44</v>
      </c>
    </row>
    <row r="183" spans="1:35">
      <c r="A183">
        <v>22924</v>
      </c>
      <c r="B183" t="s">
        <v>293</v>
      </c>
      <c r="C183">
        <v>7634</v>
      </c>
      <c r="D183" t="s">
        <v>210</v>
      </c>
      <c r="E183">
        <v>3874</v>
      </c>
      <c r="F183" t="s">
        <v>211</v>
      </c>
      <c r="G183" s="1">
        <v>46074</v>
      </c>
      <c r="H183" t="s">
        <v>64</v>
      </c>
      <c r="I183" t="s">
        <v>45</v>
      </c>
      <c r="J183" t="s">
        <v>118</v>
      </c>
      <c r="K183" t="s">
        <v>202</v>
      </c>
      <c r="L183">
        <v>1234</v>
      </c>
      <c r="M183">
        <v>0</v>
      </c>
      <c r="N183">
        <v>0</v>
      </c>
      <c r="O183">
        <v>0</v>
      </c>
      <c r="P183" t="s">
        <v>99</v>
      </c>
      <c r="Q183" t="s">
        <v>224</v>
      </c>
      <c r="R183" t="s">
        <v>36</v>
      </c>
      <c r="S183" t="s">
        <v>203</v>
      </c>
      <c r="T183" s="2">
        <v>46074.402337962965</v>
      </c>
      <c r="U183" s="2">
        <v>46074.414571759262</v>
      </c>
      <c r="V183" s="3">
        <v>1.2233796296296296E-2</v>
      </c>
      <c r="W183" t="s">
        <v>49</v>
      </c>
      <c r="X183">
        <v>1</v>
      </c>
      <c r="Y183">
        <v>2</v>
      </c>
      <c r="Z183" s="3">
        <v>2.0833333333333332E-2</v>
      </c>
      <c r="AA183">
        <v>0.5</v>
      </c>
      <c r="AB183" t="s">
        <v>48</v>
      </c>
      <c r="AC183" s="3">
        <v>0.3125</v>
      </c>
      <c r="AD183" t="s">
        <v>64</v>
      </c>
      <c r="AE183" t="s">
        <v>38</v>
      </c>
      <c r="AF183" t="s">
        <v>39</v>
      </c>
      <c r="AG183" t="s">
        <v>40</v>
      </c>
      <c r="AH183" t="s">
        <v>35</v>
      </c>
      <c r="AI183" t="s">
        <v>44</v>
      </c>
    </row>
    <row r="184" spans="1:35">
      <c r="A184">
        <v>22924</v>
      </c>
      <c r="B184" t="s">
        <v>293</v>
      </c>
      <c r="C184">
        <v>7634</v>
      </c>
      <c r="D184" t="s">
        <v>210</v>
      </c>
      <c r="E184">
        <v>3874</v>
      </c>
      <c r="F184" t="s">
        <v>211</v>
      </c>
      <c r="G184" s="1">
        <v>46074</v>
      </c>
      <c r="H184" t="s">
        <v>64</v>
      </c>
      <c r="I184" t="s">
        <v>45</v>
      </c>
      <c r="J184" t="s">
        <v>90</v>
      </c>
      <c r="K184" t="s">
        <v>152</v>
      </c>
      <c r="L184">
        <v>67334</v>
      </c>
      <c r="M184">
        <v>0</v>
      </c>
      <c r="N184">
        <v>0</v>
      </c>
      <c r="O184">
        <v>0</v>
      </c>
      <c r="P184" t="s">
        <v>99</v>
      </c>
      <c r="Q184" t="s">
        <v>224</v>
      </c>
      <c r="R184" t="s">
        <v>36</v>
      </c>
      <c r="S184" t="s">
        <v>153</v>
      </c>
      <c r="T184" s="2">
        <v>46074.537974537037</v>
      </c>
      <c r="U184" s="2">
        <v>46074.571168981478</v>
      </c>
      <c r="V184" s="3">
        <v>3.3194444444444443E-2</v>
      </c>
      <c r="W184" t="s">
        <v>49</v>
      </c>
      <c r="X184">
        <v>1</v>
      </c>
      <c r="Y184">
        <v>2</v>
      </c>
      <c r="Z184" s="3">
        <v>2.0833333333333332E-2</v>
      </c>
      <c r="AA184">
        <v>0.5</v>
      </c>
      <c r="AB184" t="s">
        <v>48</v>
      </c>
      <c r="AC184" s="3">
        <v>0.3125</v>
      </c>
      <c r="AD184" t="s">
        <v>64</v>
      </c>
      <c r="AE184" t="s">
        <v>38</v>
      </c>
      <c r="AF184" t="s">
        <v>39</v>
      </c>
      <c r="AG184" t="s">
        <v>40</v>
      </c>
      <c r="AH184" t="s">
        <v>35</v>
      </c>
      <c r="AI184" t="s">
        <v>44</v>
      </c>
    </row>
    <row r="185" spans="1:35">
      <c r="A185">
        <v>22924</v>
      </c>
      <c r="B185" t="s">
        <v>293</v>
      </c>
      <c r="C185">
        <v>7634</v>
      </c>
      <c r="D185" t="s">
        <v>210</v>
      </c>
      <c r="E185">
        <v>3874</v>
      </c>
      <c r="F185" t="s">
        <v>211</v>
      </c>
      <c r="G185" s="1">
        <v>46074</v>
      </c>
      <c r="H185" t="s">
        <v>64</v>
      </c>
      <c r="I185" t="s">
        <v>45</v>
      </c>
      <c r="J185" t="s">
        <v>102</v>
      </c>
      <c r="K185" t="s">
        <v>216</v>
      </c>
      <c r="L185">
        <v>101517</v>
      </c>
      <c r="M185">
        <v>0</v>
      </c>
      <c r="N185">
        <v>0</v>
      </c>
      <c r="O185">
        <v>0</v>
      </c>
      <c r="P185" t="s">
        <v>99</v>
      </c>
      <c r="Q185" t="s">
        <v>224</v>
      </c>
      <c r="R185" t="s">
        <v>36</v>
      </c>
      <c r="S185" t="s">
        <v>217</v>
      </c>
      <c r="T185" s="2">
        <v>46074.358101851853</v>
      </c>
      <c r="U185" s="2">
        <v>46074.367569444446</v>
      </c>
      <c r="V185" s="3">
        <v>9.4675925925925917E-3</v>
      </c>
      <c r="W185" t="s">
        <v>49</v>
      </c>
      <c r="X185">
        <v>1</v>
      </c>
      <c r="Y185">
        <v>2</v>
      </c>
      <c r="Z185" s="3">
        <v>2.0833333333333332E-2</v>
      </c>
      <c r="AA185">
        <v>0.5</v>
      </c>
      <c r="AB185" t="s">
        <v>48</v>
      </c>
      <c r="AC185" s="3">
        <v>0.3125</v>
      </c>
      <c r="AD185" t="s">
        <v>64</v>
      </c>
      <c r="AE185" t="s">
        <v>38</v>
      </c>
      <c r="AF185" t="s">
        <v>39</v>
      </c>
      <c r="AG185" t="s">
        <v>40</v>
      </c>
      <c r="AH185" t="s">
        <v>35</v>
      </c>
      <c r="AI185" t="s">
        <v>44</v>
      </c>
    </row>
    <row r="186" spans="1:35">
      <c r="A186">
        <v>22924</v>
      </c>
      <c r="B186" t="s">
        <v>293</v>
      </c>
      <c r="C186">
        <v>7634</v>
      </c>
      <c r="D186" t="s">
        <v>210</v>
      </c>
      <c r="E186">
        <v>3874</v>
      </c>
      <c r="F186" t="s">
        <v>211</v>
      </c>
      <c r="G186" s="1">
        <v>46074</v>
      </c>
      <c r="H186" t="s">
        <v>64</v>
      </c>
      <c r="I186" t="s">
        <v>45</v>
      </c>
      <c r="J186" t="s">
        <v>102</v>
      </c>
      <c r="K186" t="s">
        <v>216</v>
      </c>
      <c r="L186">
        <v>101516</v>
      </c>
      <c r="M186">
        <v>0</v>
      </c>
      <c r="N186">
        <v>0</v>
      </c>
      <c r="O186">
        <v>0</v>
      </c>
      <c r="P186" t="s">
        <v>99</v>
      </c>
      <c r="Q186" t="s">
        <v>224</v>
      </c>
      <c r="R186" t="s">
        <v>36</v>
      </c>
      <c r="S186" t="s">
        <v>217</v>
      </c>
      <c r="T186" s="2">
        <v>46074.347013888888</v>
      </c>
      <c r="U186" s="2">
        <v>46074.357974537037</v>
      </c>
      <c r="V186" s="3">
        <v>1.0960648148148148E-2</v>
      </c>
      <c r="W186" t="s">
        <v>49</v>
      </c>
      <c r="X186">
        <v>1</v>
      </c>
      <c r="Y186">
        <v>2</v>
      </c>
      <c r="Z186" s="3">
        <v>2.0833333333333332E-2</v>
      </c>
      <c r="AA186">
        <v>0.5</v>
      </c>
      <c r="AB186" t="s">
        <v>48</v>
      </c>
      <c r="AC186" s="3">
        <v>0.3125</v>
      </c>
      <c r="AD186" t="s">
        <v>64</v>
      </c>
      <c r="AE186" t="s">
        <v>38</v>
      </c>
      <c r="AF186" t="s">
        <v>39</v>
      </c>
      <c r="AG186" t="s">
        <v>40</v>
      </c>
      <c r="AH186" t="s">
        <v>35</v>
      </c>
      <c r="AI186" t="s">
        <v>44</v>
      </c>
    </row>
    <row r="187" spans="1:35">
      <c r="A187">
        <v>22924</v>
      </c>
      <c r="B187" t="s">
        <v>293</v>
      </c>
      <c r="C187">
        <v>7634</v>
      </c>
      <c r="D187" t="s">
        <v>210</v>
      </c>
      <c r="E187">
        <v>3874</v>
      </c>
      <c r="F187" t="s">
        <v>211</v>
      </c>
      <c r="G187" s="1">
        <v>46074</v>
      </c>
      <c r="H187" t="s">
        <v>64</v>
      </c>
      <c r="I187" t="s">
        <v>45</v>
      </c>
      <c r="J187" t="s">
        <v>82</v>
      </c>
      <c r="K187" t="s">
        <v>184</v>
      </c>
      <c r="L187">
        <v>100126</v>
      </c>
      <c r="M187">
        <v>0</v>
      </c>
      <c r="N187">
        <v>0</v>
      </c>
      <c r="O187">
        <v>0</v>
      </c>
      <c r="P187" t="s">
        <v>99</v>
      </c>
      <c r="Q187" t="s">
        <v>224</v>
      </c>
      <c r="R187" t="s">
        <v>36</v>
      </c>
      <c r="S187" t="s">
        <v>97</v>
      </c>
      <c r="T187" s="2">
        <v>46074.257395833331</v>
      </c>
      <c r="U187" s="2">
        <v>46074.314895833333</v>
      </c>
      <c r="V187" s="3">
        <v>5.7499999999999996E-2</v>
      </c>
      <c r="W187" t="s">
        <v>49</v>
      </c>
      <c r="X187">
        <v>1</v>
      </c>
      <c r="Y187">
        <v>2</v>
      </c>
      <c r="Z187" s="3">
        <v>2.0833333333333332E-2</v>
      </c>
      <c r="AA187">
        <v>0.5</v>
      </c>
      <c r="AB187" t="s">
        <v>48</v>
      </c>
      <c r="AC187" s="3">
        <v>0.3125</v>
      </c>
      <c r="AD187" t="s">
        <v>64</v>
      </c>
      <c r="AE187" t="s">
        <v>38</v>
      </c>
      <c r="AF187" t="s">
        <v>39</v>
      </c>
      <c r="AG187" t="s">
        <v>40</v>
      </c>
      <c r="AH187" t="s">
        <v>35</v>
      </c>
      <c r="AI187" t="s">
        <v>44</v>
      </c>
    </row>
    <row r="188" spans="1:35">
      <c r="A188">
        <v>22924</v>
      </c>
      <c r="B188" t="s">
        <v>293</v>
      </c>
      <c r="C188">
        <v>7634</v>
      </c>
      <c r="D188" t="s">
        <v>210</v>
      </c>
      <c r="E188">
        <v>3874</v>
      </c>
      <c r="F188" t="s">
        <v>211</v>
      </c>
      <c r="G188" s="1">
        <v>46074</v>
      </c>
      <c r="H188" t="s">
        <v>64</v>
      </c>
      <c r="I188" t="s">
        <v>45</v>
      </c>
      <c r="J188" t="s">
        <v>132</v>
      </c>
      <c r="K188" t="s">
        <v>208</v>
      </c>
      <c r="L188">
        <v>104401</v>
      </c>
      <c r="M188">
        <v>0</v>
      </c>
      <c r="N188">
        <v>0</v>
      </c>
      <c r="O188">
        <v>0</v>
      </c>
      <c r="P188" t="s">
        <v>99</v>
      </c>
      <c r="Q188" t="s">
        <v>224</v>
      </c>
      <c r="R188" t="s">
        <v>36</v>
      </c>
      <c r="S188" t="s">
        <v>87</v>
      </c>
      <c r="T188" s="2">
        <v>46074.512777777774</v>
      </c>
      <c r="U188" s="2">
        <v>46074.518877314818</v>
      </c>
      <c r="V188" s="3">
        <v>6.0995370370370361E-3</v>
      </c>
      <c r="W188" t="s">
        <v>49</v>
      </c>
      <c r="X188">
        <v>1</v>
      </c>
      <c r="Y188">
        <v>2</v>
      </c>
      <c r="Z188" s="3">
        <v>2.0833333333333332E-2</v>
      </c>
      <c r="AA188">
        <v>0.5</v>
      </c>
      <c r="AB188" t="s">
        <v>48</v>
      </c>
      <c r="AC188" s="3">
        <v>0.3125</v>
      </c>
      <c r="AD188" t="s">
        <v>64</v>
      </c>
      <c r="AE188" t="s">
        <v>38</v>
      </c>
      <c r="AF188" t="s">
        <v>39</v>
      </c>
      <c r="AG188" t="s">
        <v>40</v>
      </c>
      <c r="AH188" t="s">
        <v>35</v>
      </c>
      <c r="AI188" t="s">
        <v>44</v>
      </c>
    </row>
    <row r="189" spans="1:35">
      <c r="A189">
        <v>22924</v>
      </c>
      <c r="B189" t="s">
        <v>293</v>
      </c>
      <c r="C189">
        <v>7634</v>
      </c>
      <c r="D189" t="s">
        <v>210</v>
      </c>
      <c r="E189">
        <v>3874</v>
      </c>
      <c r="F189" t="s">
        <v>211</v>
      </c>
      <c r="G189" s="1">
        <v>46074</v>
      </c>
      <c r="H189" t="s">
        <v>64</v>
      </c>
      <c r="I189" t="s">
        <v>45</v>
      </c>
      <c r="J189" t="s">
        <v>102</v>
      </c>
      <c r="K189" t="s">
        <v>197</v>
      </c>
      <c r="L189">
        <v>8669</v>
      </c>
      <c r="M189">
        <v>0</v>
      </c>
      <c r="N189">
        <v>0</v>
      </c>
      <c r="O189">
        <v>0</v>
      </c>
      <c r="P189" t="s">
        <v>99</v>
      </c>
      <c r="Q189" t="s">
        <v>223</v>
      </c>
      <c r="R189" t="s">
        <v>36</v>
      </c>
      <c r="S189" t="s">
        <v>198</v>
      </c>
      <c r="T189" s="2">
        <v>46074.45516203704</v>
      </c>
      <c r="U189" s="2">
        <v>46074.463935185187</v>
      </c>
      <c r="V189" s="3">
        <v>8.773148148148148E-3</v>
      </c>
      <c r="W189" t="s">
        <v>49</v>
      </c>
      <c r="X189">
        <v>1</v>
      </c>
      <c r="Y189">
        <v>2</v>
      </c>
      <c r="Z189" s="3">
        <v>2.0833333333333332E-2</v>
      </c>
      <c r="AA189">
        <v>0.5</v>
      </c>
      <c r="AB189" t="s">
        <v>48</v>
      </c>
      <c r="AC189" s="3">
        <v>0.3125</v>
      </c>
      <c r="AD189" t="s">
        <v>64</v>
      </c>
      <c r="AE189" t="s">
        <v>38</v>
      </c>
      <c r="AF189" t="s">
        <v>39</v>
      </c>
      <c r="AG189" t="s">
        <v>40</v>
      </c>
      <c r="AH189" t="s">
        <v>35</v>
      </c>
      <c r="AI189" t="s">
        <v>44</v>
      </c>
    </row>
    <row r="190" spans="1:35">
      <c r="A190">
        <v>22924</v>
      </c>
      <c r="B190" t="s">
        <v>293</v>
      </c>
      <c r="C190">
        <v>7634</v>
      </c>
      <c r="D190" t="s">
        <v>210</v>
      </c>
      <c r="E190">
        <v>3874</v>
      </c>
      <c r="F190" t="s">
        <v>211</v>
      </c>
      <c r="G190" s="1">
        <v>46074</v>
      </c>
      <c r="H190" t="s">
        <v>64</v>
      </c>
      <c r="I190" t="s">
        <v>45</v>
      </c>
      <c r="J190" t="s">
        <v>105</v>
      </c>
      <c r="K190" t="s">
        <v>177</v>
      </c>
      <c r="L190">
        <v>2346</v>
      </c>
      <c r="M190">
        <v>0</v>
      </c>
      <c r="N190">
        <v>0</v>
      </c>
      <c r="O190">
        <v>0</v>
      </c>
      <c r="P190" t="s">
        <v>99</v>
      </c>
      <c r="Q190" t="s">
        <v>224</v>
      </c>
      <c r="R190" t="s">
        <v>36</v>
      </c>
      <c r="S190" t="s">
        <v>178</v>
      </c>
      <c r="T190" s="2">
        <v>46074.377685185187</v>
      </c>
      <c r="U190" s="2">
        <v>46074.388391203705</v>
      </c>
      <c r="V190" s="3">
        <v>1.0706018518518517E-2</v>
      </c>
      <c r="W190" t="s">
        <v>49</v>
      </c>
      <c r="X190">
        <v>1</v>
      </c>
      <c r="Y190">
        <v>2</v>
      </c>
      <c r="Z190" s="3">
        <v>2.0833333333333332E-2</v>
      </c>
      <c r="AA190">
        <v>0.5</v>
      </c>
      <c r="AB190" t="s">
        <v>48</v>
      </c>
      <c r="AC190" s="3">
        <v>0.3125</v>
      </c>
      <c r="AD190" t="s">
        <v>64</v>
      </c>
      <c r="AE190" t="s">
        <v>38</v>
      </c>
      <c r="AF190" t="s">
        <v>39</v>
      </c>
      <c r="AG190" t="s">
        <v>40</v>
      </c>
      <c r="AH190" t="s">
        <v>35</v>
      </c>
      <c r="AI190" t="s">
        <v>44</v>
      </c>
    </row>
    <row r="191" spans="1:35">
      <c r="A191">
        <v>22924</v>
      </c>
      <c r="B191" t="s">
        <v>293</v>
      </c>
      <c r="C191">
        <v>7634</v>
      </c>
      <c r="D191" t="s">
        <v>210</v>
      </c>
      <c r="E191">
        <v>3874</v>
      </c>
      <c r="F191" t="s">
        <v>211</v>
      </c>
      <c r="G191" s="1">
        <v>46074</v>
      </c>
      <c r="H191" t="s">
        <v>64</v>
      </c>
      <c r="I191" t="s">
        <v>45</v>
      </c>
      <c r="J191" t="s">
        <v>102</v>
      </c>
      <c r="K191" t="s">
        <v>147</v>
      </c>
      <c r="L191">
        <v>829</v>
      </c>
      <c r="M191">
        <v>0</v>
      </c>
      <c r="N191">
        <v>0</v>
      </c>
      <c r="O191">
        <v>0</v>
      </c>
      <c r="P191" t="s">
        <v>99</v>
      </c>
      <c r="Q191" t="s">
        <v>224</v>
      </c>
      <c r="R191" t="s">
        <v>36</v>
      </c>
      <c r="S191" t="s">
        <v>144</v>
      </c>
      <c r="T191" s="2">
        <v>46074.388472222221</v>
      </c>
      <c r="U191" s="2">
        <v>46074.40221064815</v>
      </c>
      <c r="V191" s="3">
        <v>1.3738425925925926E-2</v>
      </c>
      <c r="W191" t="s">
        <v>49</v>
      </c>
      <c r="X191">
        <v>1</v>
      </c>
      <c r="Y191">
        <v>2</v>
      </c>
      <c r="Z191" s="3">
        <v>2.0833333333333332E-2</v>
      </c>
      <c r="AA191">
        <v>0.5</v>
      </c>
      <c r="AB191" t="s">
        <v>48</v>
      </c>
      <c r="AC191" s="3">
        <v>0.3125</v>
      </c>
      <c r="AD191" t="s">
        <v>64</v>
      </c>
      <c r="AE191" t="s">
        <v>38</v>
      </c>
      <c r="AF191" t="s">
        <v>39</v>
      </c>
      <c r="AG191" t="s">
        <v>40</v>
      </c>
      <c r="AH191" t="s">
        <v>35</v>
      </c>
      <c r="AI191" t="s">
        <v>44</v>
      </c>
    </row>
    <row r="192" spans="1:35">
      <c r="A192">
        <v>22924</v>
      </c>
      <c r="B192" t="s">
        <v>293</v>
      </c>
      <c r="C192">
        <v>7634</v>
      </c>
      <c r="D192" t="s">
        <v>210</v>
      </c>
      <c r="E192">
        <v>3874</v>
      </c>
      <c r="F192" t="s">
        <v>211</v>
      </c>
      <c r="G192" s="1">
        <v>46074</v>
      </c>
      <c r="H192" t="s">
        <v>64</v>
      </c>
      <c r="I192" t="s">
        <v>45</v>
      </c>
      <c r="J192" t="s">
        <v>132</v>
      </c>
      <c r="K192" t="s">
        <v>208</v>
      </c>
      <c r="L192">
        <v>104400</v>
      </c>
      <c r="M192">
        <v>0</v>
      </c>
      <c r="N192">
        <v>0</v>
      </c>
      <c r="O192">
        <v>0</v>
      </c>
      <c r="P192" t="s">
        <v>99</v>
      </c>
      <c r="Q192" t="s">
        <v>224</v>
      </c>
      <c r="R192" t="s">
        <v>36</v>
      </c>
      <c r="S192" t="s">
        <v>87</v>
      </c>
      <c r="T192" s="2">
        <v>46074.494409722225</v>
      </c>
      <c r="U192" s="2">
        <v>46074.512673611112</v>
      </c>
      <c r="V192" s="3">
        <v>1.8263888888888889E-2</v>
      </c>
      <c r="W192" t="s">
        <v>49</v>
      </c>
      <c r="X192">
        <v>1</v>
      </c>
      <c r="Y192">
        <v>2</v>
      </c>
      <c r="Z192" s="3">
        <v>2.0833333333333332E-2</v>
      </c>
      <c r="AA192">
        <v>0.5</v>
      </c>
      <c r="AB192" t="s">
        <v>48</v>
      </c>
      <c r="AC192" s="3">
        <v>0.3125</v>
      </c>
      <c r="AD192" t="s">
        <v>64</v>
      </c>
      <c r="AE192" t="s">
        <v>38</v>
      </c>
      <c r="AF192" t="s">
        <v>39</v>
      </c>
      <c r="AG192" t="s">
        <v>40</v>
      </c>
      <c r="AH192" t="s">
        <v>35</v>
      </c>
      <c r="AI192" t="s">
        <v>44</v>
      </c>
    </row>
    <row r="193" spans="1:35">
      <c r="A193">
        <v>22924</v>
      </c>
      <c r="B193" t="s">
        <v>293</v>
      </c>
      <c r="C193">
        <v>7634</v>
      </c>
      <c r="D193" t="s">
        <v>210</v>
      </c>
      <c r="E193">
        <v>3874</v>
      </c>
      <c r="F193" t="s">
        <v>211</v>
      </c>
      <c r="G193" s="1">
        <v>46074</v>
      </c>
      <c r="H193" t="s">
        <v>64</v>
      </c>
      <c r="I193" t="s">
        <v>45</v>
      </c>
      <c r="J193" t="s">
        <v>102</v>
      </c>
      <c r="K193" t="s">
        <v>197</v>
      </c>
      <c r="L193">
        <v>8668</v>
      </c>
      <c r="M193">
        <v>0</v>
      </c>
      <c r="N193">
        <v>0</v>
      </c>
      <c r="O193">
        <v>0</v>
      </c>
      <c r="P193" t="s">
        <v>99</v>
      </c>
      <c r="Q193" t="s">
        <v>223</v>
      </c>
      <c r="R193" t="s">
        <v>36</v>
      </c>
      <c r="S193" t="s">
        <v>198</v>
      </c>
      <c r="T193" s="2">
        <v>46074.445868055554</v>
      </c>
      <c r="U193" s="2">
        <v>46074.455011574071</v>
      </c>
      <c r="V193" s="3">
        <v>9.1435185185185178E-3</v>
      </c>
      <c r="W193" t="s">
        <v>49</v>
      </c>
      <c r="X193">
        <v>1</v>
      </c>
      <c r="Y193">
        <v>2</v>
      </c>
      <c r="Z193" s="3">
        <v>2.0833333333333332E-2</v>
      </c>
      <c r="AA193">
        <v>0.5</v>
      </c>
      <c r="AB193" t="s">
        <v>48</v>
      </c>
      <c r="AC193" s="3">
        <v>0.3125</v>
      </c>
      <c r="AD193" t="s">
        <v>64</v>
      </c>
      <c r="AE193" t="s">
        <v>38</v>
      </c>
      <c r="AF193" t="s">
        <v>39</v>
      </c>
      <c r="AG193" t="s">
        <v>40</v>
      </c>
      <c r="AH193" t="s">
        <v>35</v>
      </c>
      <c r="AI193" t="s">
        <v>44</v>
      </c>
    </row>
    <row r="194" spans="1:35">
      <c r="A194">
        <v>22924</v>
      </c>
      <c r="B194" t="s">
        <v>293</v>
      </c>
      <c r="C194">
        <v>7634</v>
      </c>
      <c r="D194" t="s">
        <v>210</v>
      </c>
      <c r="E194">
        <v>3874</v>
      </c>
      <c r="F194" t="s">
        <v>211</v>
      </c>
      <c r="G194" s="1">
        <v>46074</v>
      </c>
      <c r="H194" t="s">
        <v>64</v>
      </c>
      <c r="I194" t="s">
        <v>45</v>
      </c>
      <c r="J194" t="s">
        <v>132</v>
      </c>
      <c r="K194" t="s">
        <v>208</v>
      </c>
      <c r="L194">
        <v>104399</v>
      </c>
      <c r="M194">
        <v>0</v>
      </c>
      <c r="N194">
        <v>0</v>
      </c>
      <c r="O194">
        <v>0</v>
      </c>
      <c r="P194" t="s">
        <v>99</v>
      </c>
      <c r="Q194" t="s">
        <v>224</v>
      </c>
      <c r="R194" t="s">
        <v>36</v>
      </c>
      <c r="S194" t="s">
        <v>87</v>
      </c>
      <c r="T194" s="2">
        <v>46074.444664351853</v>
      </c>
      <c r="U194" s="2">
        <v>46074.485902777778</v>
      </c>
      <c r="V194" s="3">
        <v>2.2951388888888886E-2</v>
      </c>
      <c r="W194" t="s">
        <v>49</v>
      </c>
      <c r="X194">
        <v>1</v>
      </c>
      <c r="Y194">
        <v>2</v>
      </c>
      <c r="Z194" s="3">
        <v>2.0833333333333332E-2</v>
      </c>
      <c r="AA194">
        <v>0.5</v>
      </c>
      <c r="AB194" t="s">
        <v>48</v>
      </c>
      <c r="AC194" s="3">
        <v>0.3125</v>
      </c>
      <c r="AD194" t="s">
        <v>64</v>
      </c>
      <c r="AE194" t="s">
        <v>38</v>
      </c>
      <c r="AF194" t="s">
        <v>39</v>
      </c>
      <c r="AG194" t="s">
        <v>40</v>
      </c>
      <c r="AH194" t="s">
        <v>35</v>
      </c>
      <c r="AI194" t="s">
        <v>44</v>
      </c>
    </row>
    <row r="195" spans="1:35">
      <c r="A195">
        <v>22955</v>
      </c>
      <c r="B195" t="s">
        <v>268</v>
      </c>
      <c r="C195">
        <v>4175</v>
      </c>
      <c r="D195" t="s">
        <v>195</v>
      </c>
      <c r="E195">
        <v>3874</v>
      </c>
      <c r="F195" t="s">
        <v>211</v>
      </c>
      <c r="G195" s="1">
        <v>46074</v>
      </c>
      <c r="H195" t="s">
        <v>64</v>
      </c>
      <c r="I195" t="s">
        <v>45</v>
      </c>
      <c r="J195" t="s">
        <v>85</v>
      </c>
      <c r="K195" t="s">
        <v>88</v>
      </c>
      <c r="L195">
        <v>554</v>
      </c>
      <c r="M195">
        <v>0</v>
      </c>
      <c r="N195">
        <v>0</v>
      </c>
      <c r="O195">
        <v>0</v>
      </c>
      <c r="P195" t="s">
        <v>52</v>
      </c>
      <c r="Q195" t="s">
        <v>194</v>
      </c>
      <c r="R195" t="s">
        <v>36</v>
      </c>
      <c r="S195" t="s">
        <v>89</v>
      </c>
      <c r="T195" s="2">
        <v>46074.386076388888</v>
      </c>
      <c r="U195" s="2">
        <v>46074.421585648146</v>
      </c>
      <c r="V195" s="3">
        <v>3.5509259259259261E-2</v>
      </c>
      <c r="W195" t="s">
        <v>60</v>
      </c>
      <c r="X195">
        <v>12</v>
      </c>
      <c r="Y195">
        <v>50</v>
      </c>
      <c r="Z195" s="3">
        <v>9.9884259259259266E-3</v>
      </c>
      <c r="AA195">
        <v>0.24</v>
      </c>
      <c r="AB195" t="s">
        <v>48</v>
      </c>
      <c r="AC195" s="3">
        <v>0.3699305555555556</v>
      </c>
      <c r="AD195" t="s">
        <v>64</v>
      </c>
      <c r="AE195" t="s">
        <v>38</v>
      </c>
      <c r="AF195" t="s">
        <v>39</v>
      </c>
      <c r="AG195" t="s">
        <v>40</v>
      </c>
      <c r="AH195" t="s">
        <v>35</v>
      </c>
      <c r="AI195" t="s">
        <v>256</v>
      </c>
    </row>
    <row r="196" spans="1:35">
      <c r="A196">
        <v>22955</v>
      </c>
      <c r="B196" t="s">
        <v>268</v>
      </c>
      <c r="C196">
        <v>4175</v>
      </c>
      <c r="D196" t="s">
        <v>195</v>
      </c>
      <c r="E196">
        <v>3874</v>
      </c>
      <c r="F196" t="s">
        <v>211</v>
      </c>
      <c r="G196" s="1">
        <v>46074</v>
      </c>
      <c r="H196" t="s">
        <v>64</v>
      </c>
      <c r="I196" t="s">
        <v>45</v>
      </c>
      <c r="J196" t="s">
        <v>85</v>
      </c>
      <c r="K196" t="s">
        <v>88</v>
      </c>
      <c r="L196">
        <v>555</v>
      </c>
      <c r="M196">
        <v>0</v>
      </c>
      <c r="N196">
        <v>0</v>
      </c>
      <c r="O196">
        <v>0</v>
      </c>
      <c r="P196" t="s">
        <v>52</v>
      </c>
      <c r="Q196" t="s">
        <v>194</v>
      </c>
      <c r="R196" t="s">
        <v>36</v>
      </c>
      <c r="S196" t="s">
        <v>89</v>
      </c>
      <c r="T196" s="2">
        <v>46074.428368055553</v>
      </c>
      <c r="U196" s="2">
        <v>46074.463750000003</v>
      </c>
      <c r="V196" s="3">
        <v>3.5381944444444445E-2</v>
      </c>
      <c r="W196" t="s">
        <v>60</v>
      </c>
      <c r="X196">
        <v>12</v>
      </c>
      <c r="Y196">
        <v>50</v>
      </c>
      <c r="Z196" s="3">
        <v>9.9884259259259266E-3</v>
      </c>
      <c r="AA196">
        <v>0.24</v>
      </c>
      <c r="AB196" t="s">
        <v>48</v>
      </c>
      <c r="AC196" s="3">
        <v>0.3699305555555556</v>
      </c>
      <c r="AD196" t="s">
        <v>64</v>
      </c>
      <c r="AE196" t="s">
        <v>38</v>
      </c>
      <c r="AF196" t="s">
        <v>39</v>
      </c>
      <c r="AG196" t="s">
        <v>40</v>
      </c>
      <c r="AH196" t="s">
        <v>35</v>
      </c>
      <c r="AI196" t="s">
        <v>256</v>
      </c>
    </row>
    <row r="197" spans="1:35">
      <c r="A197">
        <v>22955</v>
      </c>
      <c r="B197" t="s">
        <v>268</v>
      </c>
      <c r="C197">
        <v>4175</v>
      </c>
      <c r="D197" t="s">
        <v>195</v>
      </c>
      <c r="E197">
        <v>3874</v>
      </c>
      <c r="F197" t="s">
        <v>211</v>
      </c>
      <c r="G197" s="1">
        <v>46074</v>
      </c>
      <c r="H197" t="s">
        <v>64</v>
      </c>
      <c r="I197" t="s">
        <v>45</v>
      </c>
      <c r="J197" t="s">
        <v>85</v>
      </c>
      <c r="K197" t="s">
        <v>88</v>
      </c>
      <c r="L197">
        <v>554</v>
      </c>
      <c r="M197">
        <v>0</v>
      </c>
      <c r="N197">
        <v>0</v>
      </c>
      <c r="O197">
        <v>0</v>
      </c>
      <c r="P197" t="s">
        <v>99</v>
      </c>
      <c r="Q197" t="s">
        <v>224</v>
      </c>
      <c r="R197" t="s">
        <v>36</v>
      </c>
      <c r="S197" t="s">
        <v>89</v>
      </c>
      <c r="T197" s="2">
        <v>46074.421724537038</v>
      </c>
      <c r="U197" s="2">
        <v>46074.428043981483</v>
      </c>
      <c r="V197" s="3">
        <v>6.3194444444444444E-3</v>
      </c>
      <c r="W197" t="s">
        <v>49</v>
      </c>
      <c r="X197">
        <v>1</v>
      </c>
      <c r="Y197">
        <v>1</v>
      </c>
      <c r="Z197" s="3">
        <v>4.1666666666666664E-2</v>
      </c>
      <c r="AA197">
        <v>1</v>
      </c>
      <c r="AB197" t="s">
        <v>48</v>
      </c>
      <c r="AC197" s="3">
        <v>0.3699305555555556</v>
      </c>
      <c r="AD197" t="s">
        <v>64</v>
      </c>
      <c r="AE197" t="s">
        <v>38</v>
      </c>
      <c r="AF197" t="s">
        <v>39</v>
      </c>
      <c r="AG197" t="s">
        <v>40</v>
      </c>
      <c r="AH197" t="s">
        <v>35</v>
      </c>
      <c r="AI197" t="s">
        <v>256</v>
      </c>
    </row>
    <row r="198" spans="1:35">
      <c r="A198">
        <v>22955</v>
      </c>
      <c r="B198" t="s">
        <v>268</v>
      </c>
      <c r="C198">
        <v>4175</v>
      </c>
      <c r="D198" t="s">
        <v>195</v>
      </c>
      <c r="E198">
        <v>3874</v>
      </c>
      <c r="F198" t="s">
        <v>211</v>
      </c>
      <c r="G198" s="1">
        <v>46074</v>
      </c>
      <c r="H198" t="s">
        <v>64</v>
      </c>
      <c r="I198" t="s">
        <v>45</v>
      </c>
      <c r="J198" t="s">
        <v>105</v>
      </c>
      <c r="K198" t="s">
        <v>123</v>
      </c>
      <c r="L198">
        <v>61110</v>
      </c>
      <c r="M198">
        <v>0</v>
      </c>
      <c r="N198">
        <v>0</v>
      </c>
      <c r="O198">
        <v>0</v>
      </c>
      <c r="P198" t="s">
        <v>52</v>
      </c>
      <c r="Q198" t="s">
        <v>194</v>
      </c>
      <c r="R198" t="s">
        <v>36</v>
      </c>
      <c r="S198" t="s">
        <v>124</v>
      </c>
      <c r="T198" s="2">
        <v>46074.317893518521</v>
      </c>
      <c r="U198" s="2">
        <v>46074.341851851852</v>
      </c>
      <c r="V198" s="3">
        <v>2.3958333333333331E-2</v>
      </c>
      <c r="W198" t="s">
        <v>60</v>
      </c>
      <c r="X198">
        <v>9</v>
      </c>
      <c r="Y198">
        <v>50</v>
      </c>
      <c r="Z198" s="3">
        <v>7.4884259259259262E-3</v>
      </c>
      <c r="AA198">
        <v>0.18</v>
      </c>
      <c r="AB198" t="s">
        <v>48</v>
      </c>
      <c r="AC198" s="3">
        <v>0.3699305555555556</v>
      </c>
      <c r="AD198" t="s">
        <v>64</v>
      </c>
      <c r="AE198" t="s">
        <v>38</v>
      </c>
      <c r="AF198" t="s">
        <v>39</v>
      </c>
      <c r="AG198" t="s">
        <v>40</v>
      </c>
      <c r="AH198" t="s">
        <v>35</v>
      </c>
      <c r="AI198" t="s">
        <v>256</v>
      </c>
    </row>
    <row r="199" spans="1:35">
      <c r="A199">
        <v>22955</v>
      </c>
      <c r="B199" t="s">
        <v>268</v>
      </c>
      <c r="C199">
        <v>4175</v>
      </c>
      <c r="D199" t="s">
        <v>195</v>
      </c>
      <c r="E199">
        <v>3874</v>
      </c>
      <c r="F199" t="s">
        <v>211</v>
      </c>
      <c r="G199" s="1">
        <v>46074</v>
      </c>
      <c r="H199" t="s">
        <v>64</v>
      </c>
      <c r="I199" t="s">
        <v>45</v>
      </c>
      <c r="J199" t="s">
        <v>59</v>
      </c>
      <c r="K199" t="s">
        <v>68</v>
      </c>
      <c r="L199">
        <v>20919</v>
      </c>
      <c r="M199">
        <v>0</v>
      </c>
      <c r="N199">
        <v>0</v>
      </c>
      <c r="O199">
        <v>0</v>
      </c>
      <c r="P199" t="s">
        <v>99</v>
      </c>
      <c r="Q199" t="s">
        <v>224</v>
      </c>
      <c r="R199" t="s">
        <v>36</v>
      </c>
      <c r="S199" t="s">
        <v>69</v>
      </c>
      <c r="T199" s="2">
        <v>46074.279224537036</v>
      </c>
      <c r="U199" s="2">
        <v>46074.283391203702</v>
      </c>
      <c r="V199" s="3">
        <v>4.1666666666666666E-3</v>
      </c>
      <c r="W199" t="s">
        <v>49</v>
      </c>
      <c r="X199">
        <v>1</v>
      </c>
      <c r="Y199">
        <v>2</v>
      </c>
      <c r="Z199" s="3">
        <v>2.0833333333333332E-2</v>
      </c>
      <c r="AA199">
        <v>0.5</v>
      </c>
      <c r="AB199" t="s">
        <v>48</v>
      </c>
      <c r="AC199" s="3">
        <v>0.3699305555555556</v>
      </c>
      <c r="AD199" t="s">
        <v>64</v>
      </c>
      <c r="AE199" t="s">
        <v>38</v>
      </c>
      <c r="AF199" t="s">
        <v>39</v>
      </c>
      <c r="AG199" t="s">
        <v>40</v>
      </c>
      <c r="AH199" t="s">
        <v>35</v>
      </c>
      <c r="AI199" t="s">
        <v>256</v>
      </c>
    </row>
    <row r="200" spans="1:35">
      <c r="A200">
        <v>22955</v>
      </c>
      <c r="B200" t="s">
        <v>268</v>
      </c>
      <c r="C200">
        <v>4175</v>
      </c>
      <c r="D200" t="s">
        <v>195</v>
      </c>
      <c r="E200">
        <v>3874</v>
      </c>
      <c r="F200" t="s">
        <v>211</v>
      </c>
      <c r="G200" s="1">
        <v>46074</v>
      </c>
      <c r="H200" t="s">
        <v>64</v>
      </c>
      <c r="I200" t="s">
        <v>45</v>
      </c>
      <c r="J200" t="s">
        <v>59</v>
      </c>
      <c r="K200" t="s">
        <v>68</v>
      </c>
      <c r="L200">
        <v>20930</v>
      </c>
      <c r="M200">
        <v>0</v>
      </c>
      <c r="N200">
        <v>0</v>
      </c>
      <c r="O200">
        <v>0</v>
      </c>
      <c r="P200" t="s">
        <v>52</v>
      </c>
      <c r="Q200" t="s">
        <v>194</v>
      </c>
      <c r="R200" t="s">
        <v>36</v>
      </c>
      <c r="S200" t="s">
        <v>69</v>
      </c>
      <c r="T200" s="2">
        <v>46074.468611111108</v>
      </c>
      <c r="U200" s="2">
        <v>46074.5153125</v>
      </c>
      <c r="V200" s="3">
        <v>4.670138888888889E-2</v>
      </c>
      <c r="W200" t="s">
        <v>60</v>
      </c>
      <c r="X200">
        <v>24</v>
      </c>
      <c r="Y200">
        <v>50</v>
      </c>
      <c r="Z200" s="3">
        <v>1.9988425925925927E-2</v>
      </c>
      <c r="AA200">
        <v>0.48</v>
      </c>
      <c r="AB200" t="s">
        <v>48</v>
      </c>
      <c r="AC200" s="3">
        <v>0.3699305555555556</v>
      </c>
      <c r="AD200" t="s">
        <v>64</v>
      </c>
      <c r="AE200" t="s">
        <v>38</v>
      </c>
      <c r="AF200" t="s">
        <v>39</v>
      </c>
      <c r="AG200" t="s">
        <v>40</v>
      </c>
      <c r="AH200" t="s">
        <v>35</v>
      </c>
      <c r="AI200" t="s">
        <v>256</v>
      </c>
    </row>
    <row r="201" spans="1:35">
      <c r="A201">
        <v>22955</v>
      </c>
      <c r="B201" t="s">
        <v>268</v>
      </c>
      <c r="C201">
        <v>4175</v>
      </c>
      <c r="D201" t="s">
        <v>195</v>
      </c>
      <c r="E201">
        <v>3874</v>
      </c>
      <c r="F201" t="s">
        <v>211</v>
      </c>
      <c r="G201" s="1">
        <v>46074</v>
      </c>
      <c r="H201" t="s">
        <v>64</v>
      </c>
      <c r="I201" t="s">
        <v>45</v>
      </c>
      <c r="J201" t="s">
        <v>85</v>
      </c>
      <c r="K201" t="s">
        <v>88</v>
      </c>
      <c r="L201">
        <v>551</v>
      </c>
      <c r="M201">
        <v>0</v>
      </c>
      <c r="N201">
        <v>0</v>
      </c>
      <c r="O201">
        <v>0</v>
      </c>
      <c r="P201" t="s">
        <v>99</v>
      </c>
      <c r="Q201" t="s">
        <v>224</v>
      </c>
      <c r="R201" t="s">
        <v>36</v>
      </c>
      <c r="S201" t="s">
        <v>89</v>
      </c>
      <c r="T201" s="2">
        <v>46074.38045138889</v>
      </c>
      <c r="U201" s="2">
        <v>46074.385092592594</v>
      </c>
      <c r="V201" s="3">
        <v>4.6412037037037038E-3</v>
      </c>
      <c r="W201" t="s">
        <v>49</v>
      </c>
      <c r="X201">
        <v>1</v>
      </c>
      <c r="Y201">
        <v>1</v>
      </c>
      <c r="Z201" s="3">
        <v>4.1666666666666664E-2</v>
      </c>
      <c r="AA201">
        <v>1</v>
      </c>
      <c r="AB201" t="s">
        <v>48</v>
      </c>
      <c r="AC201" s="3">
        <v>0.3699305555555556</v>
      </c>
      <c r="AD201" t="s">
        <v>64</v>
      </c>
      <c r="AE201" t="s">
        <v>38</v>
      </c>
      <c r="AF201" t="s">
        <v>39</v>
      </c>
      <c r="AG201" t="s">
        <v>40</v>
      </c>
      <c r="AH201" t="s">
        <v>35</v>
      </c>
      <c r="AI201" t="s">
        <v>256</v>
      </c>
    </row>
    <row r="202" spans="1:35">
      <c r="A202">
        <v>22955</v>
      </c>
      <c r="B202" t="s">
        <v>268</v>
      </c>
      <c r="C202">
        <v>4175</v>
      </c>
      <c r="D202" t="s">
        <v>195</v>
      </c>
      <c r="E202">
        <v>3874</v>
      </c>
      <c r="F202" t="s">
        <v>211</v>
      </c>
      <c r="G202" s="1">
        <v>46074</v>
      </c>
      <c r="H202" t="s">
        <v>64</v>
      </c>
      <c r="I202" t="s">
        <v>45</v>
      </c>
      <c r="J202" t="s">
        <v>105</v>
      </c>
      <c r="K202" t="s">
        <v>123</v>
      </c>
      <c r="L202">
        <v>61111</v>
      </c>
      <c r="M202">
        <v>0</v>
      </c>
      <c r="N202">
        <v>0</v>
      </c>
      <c r="O202">
        <v>0</v>
      </c>
      <c r="P202" t="s">
        <v>52</v>
      </c>
      <c r="Q202" t="s">
        <v>194</v>
      </c>
      <c r="R202" t="s">
        <v>36</v>
      </c>
      <c r="S202" t="s">
        <v>124</v>
      </c>
      <c r="T202" s="2">
        <v>46074.283541666664</v>
      </c>
      <c r="U202" s="2">
        <v>46074.317395833335</v>
      </c>
      <c r="V202" s="3">
        <v>2.4108796296296298E-2</v>
      </c>
      <c r="W202" t="s">
        <v>60</v>
      </c>
      <c r="X202">
        <v>36</v>
      </c>
      <c r="Y202">
        <v>50</v>
      </c>
      <c r="Z202" s="3">
        <v>2.9988425925925922E-2</v>
      </c>
      <c r="AA202">
        <v>0.72</v>
      </c>
      <c r="AB202" t="s">
        <v>48</v>
      </c>
      <c r="AC202" s="3">
        <v>0.3699305555555556</v>
      </c>
      <c r="AD202" t="s">
        <v>64</v>
      </c>
      <c r="AE202" t="s">
        <v>38</v>
      </c>
      <c r="AF202" t="s">
        <v>39</v>
      </c>
      <c r="AG202" t="s">
        <v>40</v>
      </c>
      <c r="AH202" t="s">
        <v>35</v>
      </c>
      <c r="AI202" t="s">
        <v>256</v>
      </c>
    </row>
    <row r="203" spans="1:35">
      <c r="A203">
        <v>22955</v>
      </c>
      <c r="B203" t="s">
        <v>268</v>
      </c>
      <c r="C203">
        <v>4175</v>
      </c>
      <c r="D203" t="s">
        <v>195</v>
      </c>
      <c r="E203">
        <v>3874</v>
      </c>
      <c r="F203" t="s">
        <v>211</v>
      </c>
      <c r="G203" s="1">
        <v>46074</v>
      </c>
      <c r="H203" t="s">
        <v>64</v>
      </c>
      <c r="I203" t="s">
        <v>45</v>
      </c>
      <c r="J203" t="s">
        <v>105</v>
      </c>
      <c r="K203" t="s">
        <v>123</v>
      </c>
      <c r="L203">
        <v>61110</v>
      </c>
      <c r="M203">
        <v>0</v>
      </c>
      <c r="N203">
        <v>0</v>
      </c>
      <c r="O203">
        <v>0</v>
      </c>
      <c r="P203" t="s">
        <v>99</v>
      </c>
      <c r="Q203" t="s">
        <v>223</v>
      </c>
      <c r="R203" t="s">
        <v>36</v>
      </c>
      <c r="S203" t="s">
        <v>124</v>
      </c>
      <c r="T203" s="2">
        <v>46074.341990740744</v>
      </c>
      <c r="U203" s="2">
        <v>46074.356631944444</v>
      </c>
      <c r="V203" s="3">
        <v>1.4641203703703703E-2</v>
      </c>
      <c r="W203" t="s">
        <v>49</v>
      </c>
      <c r="X203">
        <v>1</v>
      </c>
      <c r="Y203">
        <v>1</v>
      </c>
      <c r="Z203" s="3">
        <v>4.1666666666666664E-2</v>
      </c>
      <c r="AA203">
        <v>1</v>
      </c>
      <c r="AB203" t="s">
        <v>48</v>
      </c>
      <c r="AC203" s="3">
        <v>0.3699305555555556</v>
      </c>
      <c r="AD203" t="s">
        <v>64</v>
      </c>
      <c r="AE203" t="s">
        <v>38</v>
      </c>
      <c r="AF203" t="s">
        <v>39</v>
      </c>
      <c r="AG203" t="s">
        <v>40</v>
      </c>
      <c r="AH203" t="s">
        <v>35</v>
      </c>
      <c r="AI203" t="s">
        <v>256</v>
      </c>
    </row>
    <row r="204" spans="1:35">
      <c r="A204">
        <v>22955</v>
      </c>
      <c r="B204" t="s">
        <v>268</v>
      </c>
      <c r="C204">
        <v>4175</v>
      </c>
      <c r="D204" t="s">
        <v>195</v>
      </c>
      <c r="E204">
        <v>3874</v>
      </c>
      <c r="F204" t="s">
        <v>211</v>
      </c>
      <c r="G204" s="1">
        <v>46074</v>
      </c>
      <c r="H204" t="s">
        <v>64</v>
      </c>
      <c r="I204" t="s">
        <v>45</v>
      </c>
      <c r="J204" t="s">
        <v>85</v>
      </c>
      <c r="K204" t="s">
        <v>88</v>
      </c>
      <c r="L204">
        <v>555</v>
      </c>
      <c r="M204">
        <v>0</v>
      </c>
      <c r="N204">
        <v>0</v>
      </c>
      <c r="O204">
        <v>0</v>
      </c>
      <c r="P204" t="s">
        <v>99</v>
      </c>
      <c r="Q204" t="s">
        <v>224</v>
      </c>
      <c r="R204" t="s">
        <v>36</v>
      </c>
      <c r="S204" t="s">
        <v>89</v>
      </c>
      <c r="T204" s="2">
        <v>46074.463819444441</v>
      </c>
      <c r="U204" s="2">
        <v>46074.468449074076</v>
      </c>
      <c r="V204" s="3">
        <v>4.6296296296296302E-3</v>
      </c>
      <c r="W204" t="s">
        <v>49</v>
      </c>
      <c r="X204">
        <v>1</v>
      </c>
      <c r="Y204">
        <v>1</v>
      </c>
      <c r="Z204" s="3">
        <v>4.1666666666666664E-2</v>
      </c>
      <c r="AA204">
        <v>1</v>
      </c>
      <c r="AB204" t="s">
        <v>48</v>
      </c>
      <c r="AC204" s="3">
        <v>0.3699305555555556</v>
      </c>
      <c r="AD204" t="s">
        <v>64</v>
      </c>
      <c r="AE204" t="s">
        <v>38</v>
      </c>
      <c r="AF204" t="s">
        <v>39</v>
      </c>
      <c r="AG204" t="s">
        <v>40</v>
      </c>
      <c r="AH204" t="s">
        <v>35</v>
      </c>
      <c r="AI204" t="s">
        <v>256</v>
      </c>
    </row>
    <row r="205" spans="1:35">
      <c r="A205">
        <v>22955</v>
      </c>
      <c r="B205" t="s">
        <v>268</v>
      </c>
      <c r="C205">
        <v>4175</v>
      </c>
      <c r="D205" t="s">
        <v>195</v>
      </c>
      <c r="E205">
        <v>3874</v>
      </c>
      <c r="F205" t="s">
        <v>211</v>
      </c>
      <c r="G205" s="1">
        <v>46074</v>
      </c>
      <c r="H205" t="s">
        <v>64</v>
      </c>
      <c r="I205" t="s">
        <v>45</v>
      </c>
      <c r="J205" t="s">
        <v>59</v>
      </c>
      <c r="K205" t="s">
        <v>65</v>
      </c>
      <c r="L205">
        <v>4379</v>
      </c>
      <c r="M205">
        <v>0</v>
      </c>
      <c r="N205">
        <v>0</v>
      </c>
      <c r="O205">
        <v>0</v>
      </c>
      <c r="P205" t="s">
        <v>99</v>
      </c>
      <c r="Q205" t="s">
        <v>224</v>
      </c>
      <c r="R205" t="s">
        <v>36</v>
      </c>
      <c r="S205" t="s">
        <v>66</v>
      </c>
      <c r="T205" s="2">
        <v>46074.56722222222</v>
      </c>
      <c r="U205" s="2">
        <v>46074.570613425924</v>
      </c>
      <c r="V205" s="3">
        <v>3.3912037037037036E-3</v>
      </c>
      <c r="W205" t="s">
        <v>49</v>
      </c>
      <c r="X205">
        <v>1</v>
      </c>
      <c r="Y205">
        <v>2</v>
      </c>
      <c r="Z205" s="3">
        <v>2.0833333333333332E-2</v>
      </c>
      <c r="AA205">
        <v>0.5</v>
      </c>
      <c r="AB205" t="s">
        <v>48</v>
      </c>
      <c r="AC205" s="3">
        <v>0.3699305555555556</v>
      </c>
      <c r="AD205" t="s">
        <v>64</v>
      </c>
      <c r="AE205" t="s">
        <v>38</v>
      </c>
      <c r="AF205" t="s">
        <v>39</v>
      </c>
      <c r="AG205" t="s">
        <v>40</v>
      </c>
      <c r="AH205" t="s">
        <v>35</v>
      </c>
      <c r="AI205" t="s">
        <v>256</v>
      </c>
    </row>
    <row r="206" spans="1:35">
      <c r="A206">
        <v>22955</v>
      </c>
      <c r="B206" t="s">
        <v>268</v>
      </c>
      <c r="C206">
        <v>4175</v>
      </c>
      <c r="D206" t="s">
        <v>195</v>
      </c>
      <c r="E206">
        <v>3874</v>
      </c>
      <c r="F206" t="s">
        <v>211</v>
      </c>
      <c r="G206" s="1">
        <v>46074</v>
      </c>
      <c r="H206" t="s">
        <v>64</v>
      </c>
      <c r="I206" t="s">
        <v>45</v>
      </c>
      <c r="J206" t="s">
        <v>85</v>
      </c>
      <c r="K206" t="s">
        <v>88</v>
      </c>
      <c r="L206">
        <v>551</v>
      </c>
      <c r="M206">
        <v>0</v>
      </c>
      <c r="N206">
        <v>0</v>
      </c>
      <c r="O206">
        <v>0</v>
      </c>
      <c r="P206" t="s">
        <v>52</v>
      </c>
      <c r="Q206" t="s">
        <v>194</v>
      </c>
      <c r="R206" t="s">
        <v>36</v>
      </c>
      <c r="S206" t="s">
        <v>89</v>
      </c>
      <c r="T206" s="2">
        <v>46074.356886574074</v>
      </c>
      <c r="U206" s="2">
        <v>46074.385462962964</v>
      </c>
      <c r="V206" s="3">
        <v>2.3738425925925923E-2</v>
      </c>
      <c r="W206" t="s">
        <v>60</v>
      </c>
      <c r="X206">
        <v>13</v>
      </c>
      <c r="Y206">
        <v>50</v>
      </c>
      <c r="Z206" s="3">
        <v>1.0833333333333334E-2</v>
      </c>
      <c r="AA206">
        <v>0.26</v>
      </c>
      <c r="AB206" t="s">
        <v>48</v>
      </c>
      <c r="AC206" s="3">
        <v>0.3699305555555556</v>
      </c>
      <c r="AD206" t="s">
        <v>64</v>
      </c>
      <c r="AE206" t="s">
        <v>38</v>
      </c>
      <c r="AF206" t="s">
        <v>39</v>
      </c>
      <c r="AG206" t="s">
        <v>40</v>
      </c>
      <c r="AH206" t="s">
        <v>35</v>
      </c>
      <c r="AI206" t="s">
        <v>256</v>
      </c>
    </row>
    <row r="207" spans="1:35">
      <c r="A207">
        <v>22955</v>
      </c>
      <c r="B207" t="s">
        <v>268</v>
      </c>
      <c r="C207">
        <v>4175</v>
      </c>
      <c r="D207" t="s">
        <v>195</v>
      </c>
      <c r="E207">
        <v>3874</v>
      </c>
      <c r="F207" t="s">
        <v>211</v>
      </c>
      <c r="G207" s="1">
        <v>46074</v>
      </c>
      <c r="H207" t="s">
        <v>64</v>
      </c>
      <c r="I207" t="s">
        <v>45</v>
      </c>
      <c r="J207" t="s">
        <v>105</v>
      </c>
      <c r="K207" t="s">
        <v>123</v>
      </c>
      <c r="L207">
        <v>61111</v>
      </c>
      <c r="M207">
        <v>0</v>
      </c>
      <c r="N207">
        <v>0</v>
      </c>
      <c r="O207">
        <v>0</v>
      </c>
      <c r="P207" t="s">
        <v>99</v>
      </c>
      <c r="Q207" t="s">
        <v>223</v>
      </c>
      <c r="R207" t="s">
        <v>36</v>
      </c>
      <c r="S207" t="s">
        <v>124</v>
      </c>
      <c r="T207" s="2">
        <v>46074.307523148149</v>
      </c>
      <c r="U207" s="2">
        <v>46074.317048611112</v>
      </c>
      <c r="V207" s="3">
        <v>9.525462962962963E-3</v>
      </c>
      <c r="W207" t="s">
        <v>49</v>
      </c>
      <c r="X207">
        <v>1</v>
      </c>
      <c r="Y207">
        <v>1</v>
      </c>
      <c r="Z207" s="3">
        <v>4.1666666666666664E-2</v>
      </c>
      <c r="AA207">
        <v>1</v>
      </c>
      <c r="AB207" t="s">
        <v>48</v>
      </c>
      <c r="AC207" s="3">
        <v>0.3699305555555556</v>
      </c>
      <c r="AD207" t="s">
        <v>64</v>
      </c>
      <c r="AE207" t="s">
        <v>38</v>
      </c>
      <c r="AF207" t="s">
        <v>39</v>
      </c>
      <c r="AG207" t="s">
        <v>40</v>
      </c>
      <c r="AH207" t="s">
        <v>35</v>
      </c>
      <c r="AI207" t="s">
        <v>256</v>
      </c>
    </row>
    <row r="208" spans="1:35">
      <c r="A208">
        <v>22955</v>
      </c>
      <c r="B208" t="s">
        <v>268</v>
      </c>
      <c r="C208">
        <v>4175</v>
      </c>
      <c r="D208" t="s">
        <v>195</v>
      </c>
      <c r="E208">
        <v>3874</v>
      </c>
      <c r="F208" t="s">
        <v>211</v>
      </c>
      <c r="G208" s="1">
        <v>46074</v>
      </c>
      <c r="H208" t="s">
        <v>64</v>
      </c>
      <c r="I208" t="s">
        <v>45</v>
      </c>
      <c r="J208" t="s">
        <v>59</v>
      </c>
      <c r="K208" t="s">
        <v>68</v>
      </c>
      <c r="L208">
        <v>20919</v>
      </c>
      <c r="M208">
        <v>0</v>
      </c>
      <c r="N208">
        <v>0</v>
      </c>
      <c r="O208">
        <v>0</v>
      </c>
      <c r="P208" t="s">
        <v>52</v>
      </c>
      <c r="Q208" t="s">
        <v>194</v>
      </c>
      <c r="R208" t="s">
        <v>36</v>
      </c>
      <c r="S208" t="s">
        <v>69</v>
      </c>
      <c r="T208" s="2">
        <v>46074.260150462964</v>
      </c>
      <c r="U208" s="2">
        <v>46074.279166666667</v>
      </c>
      <c r="V208" s="3">
        <v>1.9016203703703705E-2</v>
      </c>
      <c r="W208" t="s">
        <v>60</v>
      </c>
      <c r="X208">
        <v>6</v>
      </c>
      <c r="Y208">
        <v>50</v>
      </c>
      <c r="Z208" s="3">
        <v>4.9884259259259265E-3</v>
      </c>
      <c r="AA208">
        <v>0.12</v>
      </c>
      <c r="AB208" t="s">
        <v>48</v>
      </c>
      <c r="AC208" s="3">
        <v>0.3699305555555556</v>
      </c>
      <c r="AD208" t="s">
        <v>64</v>
      </c>
      <c r="AE208" t="s">
        <v>38</v>
      </c>
      <c r="AF208" t="s">
        <v>39</v>
      </c>
      <c r="AG208" t="s">
        <v>40</v>
      </c>
      <c r="AH208" t="s">
        <v>35</v>
      </c>
      <c r="AI208" t="s">
        <v>256</v>
      </c>
    </row>
    <row r="209" spans="1:35">
      <c r="A209">
        <v>22955</v>
      </c>
      <c r="B209" t="s">
        <v>268</v>
      </c>
      <c r="C209">
        <v>4175</v>
      </c>
      <c r="D209" t="s">
        <v>195</v>
      </c>
      <c r="E209">
        <v>3874</v>
      </c>
      <c r="F209" t="s">
        <v>211</v>
      </c>
      <c r="G209" s="1">
        <v>46074</v>
      </c>
      <c r="H209" t="s">
        <v>64</v>
      </c>
      <c r="I209" t="s">
        <v>45</v>
      </c>
      <c r="J209" t="s">
        <v>59</v>
      </c>
      <c r="K209" t="s">
        <v>68</v>
      </c>
      <c r="L209">
        <v>20930</v>
      </c>
      <c r="M209">
        <v>0</v>
      </c>
      <c r="N209">
        <v>0</v>
      </c>
      <c r="O209">
        <v>0</v>
      </c>
      <c r="P209" t="s">
        <v>99</v>
      </c>
      <c r="Q209" t="s">
        <v>224</v>
      </c>
      <c r="R209" t="s">
        <v>36</v>
      </c>
      <c r="S209" t="s">
        <v>69</v>
      </c>
      <c r="T209" s="2">
        <v>46074.515636574077</v>
      </c>
      <c r="U209" s="2">
        <v>46074.521782407406</v>
      </c>
      <c r="V209" s="3">
        <v>6.145833333333333E-3</v>
      </c>
      <c r="W209" t="s">
        <v>49</v>
      </c>
      <c r="X209">
        <v>1</v>
      </c>
      <c r="Y209">
        <v>2</v>
      </c>
      <c r="Z209" s="3">
        <v>2.0833333333333332E-2</v>
      </c>
      <c r="AA209">
        <v>0.5</v>
      </c>
      <c r="AB209" t="s">
        <v>48</v>
      </c>
      <c r="AC209" s="3">
        <v>0.3699305555555556</v>
      </c>
      <c r="AD209" t="s">
        <v>64</v>
      </c>
      <c r="AE209" t="s">
        <v>38</v>
      </c>
      <c r="AF209" t="s">
        <v>39</v>
      </c>
      <c r="AG209" t="s">
        <v>40</v>
      </c>
      <c r="AH209" t="s">
        <v>35</v>
      </c>
      <c r="AI209" t="s">
        <v>256</v>
      </c>
    </row>
    <row r="210" spans="1:35">
      <c r="A210">
        <v>22955</v>
      </c>
      <c r="B210" t="s">
        <v>268</v>
      </c>
      <c r="C210">
        <v>4175</v>
      </c>
      <c r="D210" t="s">
        <v>195</v>
      </c>
      <c r="E210">
        <v>3874</v>
      </c>
      <c r="F210" t="s">
        <v>211</v>
      </c>
      <c r="G210" s="1">
        <v>46074</v>
      </c>
      <c r="H210" t="s">
        <v>64</v>
      </c>
      <c r="I210" t="s">
        <v>45</v>
      </c>
      <c r="J210" t="s">
        <v>59</v>
      </c>
      <c r="K210" t="s">
        <v>65</v>
      </c>
      <c r="L210">
        <v>4379</v>
      </c>
      <c r="M210">
        <v>0</v>
      </c>
      <c r="N210">
        <v>0</v>
      </c>
      <c r="O210">
        <v>0</v>
      </c>
      <c r="P210" t="s">
        <v>52</v>
      </c>
      <c r="Q210" t="s">
        <v>194</v>
      </c>
      <c r="R210" t="s">
        <v>36</v>
      </c>
      <c r="S210" t="s">
        <v>66</v>
      </c>
      <c r="T210" s="2">
        <v>46074.522106481483</v>
      </c>
      <c r="U210" s="2">
        <v>46074.574282407404</v>
      </c>
      <c r="V210" s="3">
        <v>4.8645833333333333E-2</v>
      </c>
      <c r="W210" t="s">
        <v>60</v>
      </c>
      <c r="X210">
        <v>7</v>
      </c>
      <c r="Y210">
        <v>50</v>
      </c>
      <c r="Z210" s="3">
        <v>5.8333333333333336E-3</v>
      </c>
      <c r="AA210">
        <v>0.14000000000000001</v>
      </c>
      <c r="AB210" t="s">
        <v>48</v>
      </c>
      <c r="AC210" s="3">
        <v>0.3699305555555556</v>
      </c>
      <c r="AD210" t="s">
        <v>64</v>
      </c>
      <c r="AE210" t="s">
        <v>38</v>
      </c>
      <c r="AF210" t="s">
        <v>39</v>
      </c>
      <c r="AG210" t="s">
        <v>40</v>
      </c>
      <c r="AH210" t="s">
        <v>35</v>
      </c>
      <c r="AI210" t="s">
        <v>256</v>
      </c>
    </row>
    <row r="211" spans="1:35">
      <c r="A211">
        <v>22957</v>
      </c>
      <c r="B211" t="s">
        <v>269</v>
      </c>
      <c r="C211">
        <v>4175</v>
      </c>
      <c r="D211" t="s">
        <v>195</v>
      </c>
      <c r="E211">
        <v>3874</v>
      </c>
      <c r="F211" t="s">
        <v>211</v>
      </c>
      <c r="G211" s="1">
        <v>46074</v>
      </c>
      <c r="H211" t="s">
        <v>64</v>
      </c>
      <c r="I211" t="s">
        <v>45</v>
      </c>
      <c r="J211" t="s">
        <v>82</v>
      </c>
      <c r="K211" t="s">
        <v>108</v>
      </c>
      <c r="L211">
        <v>57717</v>
      </c>
      <c r="M211">
        <v>0</v>
      </c>
      <c r="N211">
        <v>0</v>
      </c>
      <c r="O211">
        <v>0</v>
      </c>
      <c r="P211" t="s">
        <v>52</v>
      </c>
      <c r="Q211" t="s">
        <v>140</v>
      </c>
      <c r="R211" t="s">
        <v>43</v>
      </c>
      <c r="S211" t="s">
        <v>109</v>
      </c>
      <c r="T211" s="2">
        <v>46073.462037037039</v>
      </c>
      <c r="U211" s="2">
        <v>46073.676203703704</v>
      </c>
      <c r="V211" s="3">
        <f t="shared" ref="V211:V213" si="1">Z211</f>
        <v>6.896990740740741E-2</v>
      </c>
      <c r="W211" t="s">
        <v>60</v>
      </c>
      <c r="X211">
        <v>0</v>
      </c>
      <c r="Y211">
        <v>20</v>
      </c>
      <c r="Z211" s="3">
        <v>6.896990740740741E-2</v>
      </c>
      <c r="AA211">
        <v>0</v>
      </c>
      <c r="AB211" t="s">
        <v>48</v>
      </c>
      <c r="AC211" s="3">
        <v>8.9027777777777775E-2</v>
      </c>
      <c r="AD211" t="s">
        <v>64</v>
      </c>
      <c r="AE211" t="s">
        <v>38</v>
      </c>
      <c r="AF211" t="s">
        <v>39</v>
      </c>
      <c r="AG211" t="s">
        <v>40</v>
      </c>
      <c r="AH211" t="s">
        <v>35</v>
      </c>
      <c r="AI211" t="s">
        <v>256</v>
      </c>
    </row>
    <row r="212" spans="1:35">
      <c r="A212">
        <v>22957</v>
      </c>
      <c r="B212" t="s">
        <v>269</v>
      </c>
      <c r="C212">
        <v>4175</v>
      </c>
      <c r="D212" t="s">
        <v>195</v>
      </c>
      <c r="E212">
        <v>3874</v>
      </c>
      <c r="F212" t="s">
        <v>211</v>
      </c>
      <c r="G212" s="1">
        <v>46074</v>
      </c>
      <c r="H212" t="s">
        <v>64</v>
      </c>
      <c r="I212" t="s">
        <v>45</v>
      </c>
      <c r="J212" t="s">
        <v>82</v>
      </c>
      <c r="K212" t="s">
        <v>218</v>
      </c>
      <c r="L212">
        <v>100345</v>
      </c>
      <c r="M212">
        <v>0</v>
      </c>
      <c r="N212">
        <v>0</v>
      </c>
      <c r="O212">
        <v>0</v>
      </c>
      <c r="P212" t="s">
        <v>52</v>
      </c>
      <c r="Q212" t="s">
        <v>140</v>
      </c>
      <c r="R212" t="s">
        <v>43</v>
      </c>
      <c r="S212" t="s">
        <v>97</v>
      </c>
      <c r="T212" s="2">
        <v>46073.326643518521</v>
      </c>
      <c r="U212" s="2">
        <v>46073.335289351853</v>
      </c>
      <c r="V212" s="3">
        <f t="shared" si="1"/>
        <v>7.951388888888888E-3</v>
      </c>
      <c r="W212" t="s">
        <v>60</v>
      </c>
      <c r="X212">
        <v>0</v>
      </c>
      <c r="Y212">
        <v>20</v>
      </c>
      <c r="Z212" s="3">
        <v>7.951388888888888E-3</v>
      </c>
      <c r="AA212">
        <v>0</v>
      </c>
      <c r="AB212" t="s">
        <v>48</v>
      </c>
      <c r="AC212" s="3">
        <v>8.9027777777777775E-2</v>
      </c>
      <c r="AD212" t="s">
        <v>64</v>
      </c>
      <c r="AE212" t="s">
        <v>38</v>
      </c>
      <c r="AF212" t="s">
        <v>39</v>
      </c>
      <c r="AG212" t="s">
        <v>40</v>
      </c>
      <c r="AH212" t="s">
        <v>35</v>
      </c>
      <c r="AI212" t="s">
        <v>256</v>
      </c>
    </row>
    <row r="213" spans="1:35">
      <c r="A213">
        <v>22957</v>
      </c>
      <c r="B213" t="s">
        <v>269</v>
      </c>
      <c r="C213">
        <v>4175</v>
      </c>
      <c r="D213" t="s">
        <v>195</v>
      </c>
      <c r="E213">
        <v>3874</v>
      </c>
      <c r="F213" t="s">
        <v>211</v>
      </c>
      <c r="G213" s="1">
        <v>46074</v>
      </c>
      <c r="H213" t="s">
        <v>64</v>
      </c>
      <c r="I213" t="s">
        <v>45</v>
      </c>
      <c r="J213" t="s">
        <v>82</v>
      </c>
      <c r="K213" t="s">
        <v>220</v>
      </c>
      <c r="L213">
        <v>10721</v>
      </c>
      <c r="M213">
        <v>0</v>
      </c>
      <c r="N213">
        <v>0</v>
      </c>
      <c r="O213">
        <v>0</v>
      </c>
      <c r="P213" t="s">
        <v>52</v>
      </c>
      <c r="Q213" t="s">
        <v>140</v>
      </c>
      <c r="R213" t="s">
        <v>43</v>
      </c>
      <c r="S213" t="s">
        <v>221</v>
      </c>
      <c r="T213" s="2">
        <v>46071.562476851854</v>
      </c>
      <c r="U213" s="2">
        <v>46071.589386574073</v>
      </c>
      <c r="V213" s="3">
        <f t="shared" si="1"/>
        <v>1.2106481481481482E-2</v>
      </c>
      <c r="W213" t="s">
        <v>60</v>
      </c>
      <c r="X213">
        <v>0</v>
      </c>
      <c r="Y213">
        <v>20</v>
      </c>
      <c r="Z213" s="3">
        <v>1.2106481481481482E-2</v>
      </c>
      <c r="AA213">
        <v>0</v>
      </c>
      <c r="AB213" t="s">
        <v>48</v>
      </c>
      <c r="AC213" s="3">
        <v>8.9027777777777775E-2</v>
      </c>
      <c r="AD213" t="s">
        <v>64</v>
      </c>
      <c r="AE213" t="s">
        <v>38</v>
      </c>
      <c r="AF213" t="s">
        <v>39</v>
      </c>
      <c r="AG213" t="s">
        <v>40</v>
      </c>
      <c r="AH213" t="s">
        <v>35</v>
      </c>
      <c r="AI213" t="s">
        <v>256</v>
      </c>
    </row>
    <row r="214" spans="1:35">
      <c r="A214">
        <v>22958</v>
      </c>
      <c r="B214" t="s">
        <v>294</v>
      </c>
      <c r="C214">
        <v>4175</v>
      </c>
      <c r="D214" t="s">
        <v>195</v>
      </c>
      <c r="E214">
        <v>3874</v>
      </c>
      <c r="F214" t="s">
        <v>211</v>
      </c>
      <c r="G214" s="1">
        <v>46074</v>
      </c>
      <c r="H214" t="s">
        <v>64</v>
      </c>
      <c r="I214" t="s">
        <v>45</v>
      </c>
      <c r="J214" t="s">
        <v>102</v>
      </c>
      <c r="K214" t="s">
        <v>143</v>
      </c>
      <c r="L214">
        <v>102666</v>
      </c>
      <c r="M214">
        <v>0</v>
      </c>
      <c r="N214">
        <v>0</v>
      </c>
      <c r="O214">
        <v>0</v>
      </c>
      <c r="P214" t="s">
        <v>99</v>
      </c>
      <c r="Q214" t="s">
        <v>223</v>
      </c>
      <c r="R214" t="s">
        <v>36</v>
      </c>
      <c r="S214" t="s">
        <v>144</v>
      </c>
      <c r="T214" s="2">
        <v>46074.718576388892</v>
      </c>
      <c r="U214" s="2">
        <v>46074.721261574072</v>
      </c>
      <c r="V214" s="3">
        <v>2.685185185185185E-3</v>
      </c>
      <c r="W214" t="s">
        <v>49</v>
      </c>
      <c r="X214">
        <v>1</v>
      </c>
      <c r="Y214">
        <v>1</v>
      </c>
      <c r="Z214" s="3">
        <v>4.1666666666666664E-2</v>
      </c>
      <c r="AA214">
        <v>1</v>
      </c>
      <c r="AB214" t="s">
        <v>48</v>
      </c>
      <c r="AC214" s="3">
        <v>0.46746527777777774</v>
      </c>
      <c r="AD214" t="s">
        <v>64</v>
      </c>
      <c r="AE214" t="s">
        <v>38</v>
      </c>
      <c r="AF214" t="s">
        <v>168</v>
      </c>
      <c r="AG214" t="s">
        <v>169</v>
      </c>
      <c r="AH214" t="s">
        <v>35</v>
      </c>
      <c r="AI214" t="s">
        <v>256</v>
      </c>
    </row>
    <row r="215" spans="1:35">
      <c r="A215">
        <v>22958</v>
      </c>
      <c r="B215" t="s">
        <v>294</v>
      </c>
      <c r="C215">
        <v>4175</v>
      </c>
      <c r="D215" t="s">
        <v>195</v>
      </c>
      <c r="E215">
        <v>3874</v>
      </c>
      <c r="F215" t="s">
        <v>211</v>
      </c>
      <c r="G215" s="1">
        <v>46074</v>
      </c>
      <c r="H215" t="s">
        <v>64</v>
      </c>
      <c r="I215" t="s">
        <v>45</v>
      </c>
      <c r="J215" t="s">
        <v>105</v>
      </c>
      <c r="K215" t="s">
        <v>270</v>
      </c>
      <c r="L215">
        <v>100413</v>
      </c>
      <c r="M215">
        <v>0</v>
      </c>
      <c r="N215">
        <v>0</v>
      </c>
      <c r="O215">
        <v>0</v>
      </c>
      <c r="P215" t="s">
        <v>52</v>
      </c>
      <c r="Q215" t="s">
        <v>194</v>
      </c>
      <c r="R215" t="s">
        <v>36</v>
      </c>
      <c r="S215" t="s">
        <v>172</v>
      </c>
      <c r="T215" s="2">
        <v>46074.808877314812</v>
      </c>
      <c r="U215" s="2">
        <v>46074.836504629631</v>
      </c>
      <c r="V215" s="3">
        <v>2.7627314814814813E-2</v>
      </c>
      <c r="W215" t="s">
        <v>60</v>
      </c>
      <c r="X215">
        <v>26</v>
      </c>
      <c r="Y215">
        <v>50</v>
      </c>
      <c r="Z215" s="3">
        <v>2.1666666666666667E-2</v>
      </c>
      <c r="AA215">
        <v>0.52</v>
      </c>
      <c r="AB215" t="s">
        <v>48</v>
      </c>
      <c r="AC215" s="3">
        <v>0.46746527777777774</v>
      </c>
      <c r="AD215" t="s">
        <v>64</v>
      </c>
      <c r="AE215" t="s">
        <v>38</v>
      </c>
      <c r="AF215" t="s">
        <v>168</v>
      </c>
      <c r="AG215" t="s">
        <v>169</v>
      </c>
      <c r="AH215" t="s">
        <v>35</v>
      </c>
      <c r="AI215" t="s">
        <v>256</v>
      </c>
    </row>
    <row r="216" spans="1:35">
      <c r="A216">
        <v>22958</v>
      </c>
      <c r="B216" t="s">
        <v>294</v>
      </c>
      <c r="C216">
        <v>4175</v>
      </c>
      <c r="D216" t="s">
        <v>195</v>
      </c>
      <c r="E216">
        <v>3874</v>
      </c>
      <c r="F216" t="s">
        <v>211</v>
      </c>
      <c r="G216" s="1">
        <v>46074</v>
      </c>
      <c r="H216" t="s">
        <v>64</v>
      </c>
      <c r="I216" t="s">
        <v>45</v>
      </c>
      <c r="J216" t="s">
        <v>102</v>
      </c>
      <c r="K216" t="s">
        <v>143</v>
      </c>
      <c r="L216">
        <v>102659</v>
      </c>
      <c r="M216">
        <v>0</v>
      </c>
      <c r="N216">
        <v>0</v>
      </c>
      <c r="O216">
        <v>0</v>
      </c>
      <c r="P216" t="s">
        <v>99</v>
      </c>
      <c r="Q216" t="s">
        <v>223</v>
      </c>
      <c r="R216" t="s">
        <v>36</v>
      </c>
      <c r="S216" t="s">
        <v>144</v>
      </c>
      <c r="T216" s="2">
        <v>46074.648888888885</v>
      </c>
      <c r="U216" s="2">
        <v>46074.652106481481</v>
      </c>
      <c r="V216" s="3">
        <v>3.2175925925925926E-3</v>
      </c>
      <c r="W216" t="s">
        <v>49</v>
      </c>
      <c r="X216">
        <v>1</v>
      </c>
      <c r="Y216">
        <v>1</v>
      </c>
      <c r="Z216" s="3">
        <v>4.1666666666666664E-2</v>
      </c>
      <c r="AA216">
        <v>1</v>
      </c>
      <c r="AB216" t="s">
        <v>48</v>
      </c>
      <c r="AC216" s="3">
        <v>0.46746527777777774</v>
      </c>
      <c r="AD216" t="s">
        <v>64</v>
      </c>
      <c r="AE216" t="s">
        <v>38</v>
      </c>
      <c r="AF216" t="s">
        <v>168</v>
      </c>
      <c r="AG216" t="s">
        <v>169</v>
      </c>
      <c r="AH216" t="s">
        <v>35</v>
      </c>
      <c r="AI216" t="s">
        <v>256</v>
      </c>
    </row>
    <row r="217" spans="1:35">
      <c r="A217">
        <v>22958</v>
      </c>
      <c r="B217" t="s">
        <v>294</v>
      </c>
      <c r="C217">
        <v>4175</v>
      </c>
      <c r="D217" t="s">
        <v>195</v>
      </c>
      <c r="E217">
        <v>3874</v>
      </c>
      <c r="F217" t="s">
        <v>211</v>
      </c>
      <c r="G217" s="1">
        <v>46074</v>
      </c>
      <c r="H217" t="s">
        <v>64</v>
      </c>
      <c r="I217" t="s">
        <v>45</v>
      </c>
      <c r="J217" t="s">
        <v>102</v>
      </c>
      <c r="K217" t="s">
        <v>143</v>
      </c>
      <c r="L217">
        <v>102668</v>
      </c>
      <c r="M217">
        <v>0</v>
      </c>
      <c r="N217">
        <v>0</v>
      </c>
      <c r="O217">
        <v>0</v>
      </c>
      <c r="P217" t="s">
        <v>99</v>
      </c>
      <c r="Q217" t="s">
        <v>223</v>
      </c>
      <c r="R217" t="s">
        <v>36</v>
      </c>
      <c r="S217" t="s">
        <v>144</v>
      </c>
      <c r="T217" s="2">
        <v>46074.744039351855</v>
      </c>
      <c r="U217" s="2">
        <v>46074.746851851851</v>
      </c>
      <c r="V217" s="3">
        <v>2.8124999999999995E-3</v>
      </c>
      <c r="W217" t="s">
        <v>49</v>
      </c>
      <c r="X217">
        <v>1</v>
      </c>
      <c r="Y217">
        <v>1</v>
      </c>
      <c r="Z217" s="3">
        <v>4.1666666666666664E-2</v>
      </c>
      <c r="AA217">
        <v>1</v>
      </c>
      <c r="AB217" t="s">
        <v>48</v>
      </c>
      <c r="AC217" s="3">
        <v>0.46746527777777774</v>
      </c>
      <c r="AD217" t="s">
        <v>64</v>
      </c>
      <c r="AE217" t="s">
        <v>38</v>
      </c>
      <c r="AF217" t="s">
        <v>168</v>
      </c>
      <c r="AG217" t="s">
        <v>169</v>
      </c>
      <c r="AH217" t="s">
        <v>35</v>
      </c>
      <c r="AI217" t="s">
        <v>256</v>
      </c>
    </row>
    <row r="218" spans="1:35">
      <c r="A218">
        <v>22958</v>
      </c>
      <c r="B218" t="s">
        <v>294</v>
      </c>
      <c r="C218">
        <v>4175</v>
      </c>
      <c r="D218" t="s">
        <v>195</v>
      </c>
      <c r="E218">
        <v>3874</v>
      </c>
      <c r="F218" t="s">
        <v>211</v>
      </c>
      <c r="G218" s="1">
        <v>46074</v>
      </c>
      <c r="H218" t="s">
        <v>64</v>
      </c>
      <c r="I218" t="s">
        <v>45</v>
      </c>
      <c r="J218" t="s">
        <v>102</v>
      </c>
      <c r="K218" t="s">
        <v>143</v>
      </c>
      <c r="L218">
        <v>102668</v>
      </c>
      <c r="M218">
        <v>0</v>
      </c>
      <c r="N218">
        <v>0</v>
      </c>
      <c r="O218">
        <v>0</v>
      </c>
      <c r="P218" t="s">
        <v>52</v>
      </c>
      <c r="Q218" t="s">
        <v>194</v>
      </c>
      <c r="R218" t="s">
        <v>36</v>
      </c>
      <c r="S218" t="s">
        <v>144</v>
      </c>
      <c r="T218" s="2">
        <v>46074.721435185187</v>
      </c>
      <c r="U218" s="2">
        <v>46074.743877314817</v>
      </c>
      <c r="V218" s="3">
        <v>2.2442129629629631E-2</v>
      </c>
      <c r="W218" t="s">
        <v>60</v>
      </c>
      <c r="X218">
        <v>24</v>
      </c>
      <c r="Y218">
        <v>50</v>
      </c>
      <c r="Z218" s="3">
        <v>1.9988425925925927E-2</v>
      </c>
      <c r="AA218">
        <v>0.48</v>
      </c>
      <c r="AB218" t="s">
        <v>48</v>
      </c>
      <c r="AC218" s="3">
        <v>0.46746527777777774</v>
      </c>
      <c r="AD218" t="s">
        <v>64</v>
      </c>
      <c r="AE218" t="s">
        <v>38</v>
      </c>
      <c r="AF218" t="s">
        <v>168</v>
      </c>
      <c r="AG218" t="s">
        <v>169</v>
      </c>
      <c r="AH218" t="s">
        <v>35</v>
      </c>
      <c r="AI218" t="s">
        <v>256</v>
      </c>
    </row>
    <row r="219" spans="1:35">
      <c r="A219">
        <v>22958</v>
      </c>
      <c r="B219" t="s">
        <v>294</v>
      </c>
      <c r="C219">
        <v>4175</v>
      </c>
      <c r="D219" t="s">
        <v>195</v>
      </c>
      <c r="E219">
        <v>3874</v>
      </c>
      <c r="F219" t="s">
        <v>211</v>
      </c>
      <c r="G219" s="1">
        <v>46074</v>
      </c>
      <c r="H219" t="s">
        <v>64</v>
      </c>
      <c r="I219" t="s">
        <v>45</v>
      </c>
      <c r="J219" t="s">
        <v>102</v>
      </c>
      <c r="K219" t="s">
        <v>143</v>
      </c>
      <c r="L219">
        <v>102667</v>
      </c>
      <c r="M219">
        <v>0</v>
      </c>
      <c r="N219">
        <v>0</v>
      </c>
      <c r="O219">
        <v>0</v>
      </c>
      <c r="P219" t="s">
        <v>99</v>
      </c>
      <c r="Q219" t="s">
        <v>223</v>
      </c>
      <c r="R219" t="s">
        <v>36</v>
      </c>
      <c r="S219" t="s">
        <v>144</v>
      </c>
      <c r="T219" s="2">
        <v>46074.805462962962</v>
      </c>
      <c r="U219" s="2">
        <v>46074.80877314815</v>
      </c>
      <c r="V219" s="3">
        <v>3.3101851851851851E-3</v>
      </c>
      <c r="W219" t="s">
        <v>49</v>
      </c>
      <c r="X219">
        <v>1</v>
      </c>
      <c r="Y219">
        <v>1</v>
      </c>
      <c r="Z219" s="3">
        <v>4.1666666666666664E-2</v>
      </c>
      <c r="AA219">
        <v>1</v>
      </c>
      <c r="AB219" t="s">
        <v>48</v>
      </c>
      <c r="AC219" s="3">
        <v>0.46746527777777774</v>
      </c>
      <c r="AD219" t="s">
        <v>64</v>
      </c>
      <c r="AE219" t="s">
        <v>38</v>
      </c>
      <c r="AF219" t="s">
        <v>168</v>
      </c>
      <c r="AG219" t="s">
        <v>169</v>
      </c>
      <c r="AH219" t="s">
        <v>35</v>
      </c>
      <c r="AI219" t="s">
        <v>256</v>
      </c>
    </row>
    <row r="220" spans="1:35">
      <c r="A220">
        <v>22958</v>
      </c>
      <c r="B220" t="s">
        <v>294</v>
      </c>
      <c r="C220">
        <v>4175</v>
      </c>
      <c r="D220" t="s">
        <v>195</v>
      </c>
      <c r="E220">
        <v>3874</v>
      </c>
      <c r="F220" t="s">
        <v>211</v>
      </c>
      <c r="G220" s="1">
        <v>46074</v>
      </c>
      <c r="H220" t="s">
        <v>64</v>
      </c>
      <c r="I220" t="s">
        <v>45</v>
      </c>
      <c r="J220" t="s">
        <v>105</v>
      </c>
      <c r="K220" t="s">
        <v>181</v>
      </c>
      <c r="L220">
        <v>102460</v>
      </c>
      <c r="M220">
        <v>0</v>
      </c>
      <c r="N220">
        <v>0</v>
      </c>
      <c r="O220">
        <v>0</v>
      </c>
      <c r="P220" t="s">
        <v>52</v>
      </c>
      <c r="Q220" t="s">
        <v>194</v>
      </c>
      <c r="R220" t="s">
        <v>36</v>
      </c>
      <c r="S220" t="s">
        <v>182</v>
      </c>
      <c r="T220" s="2">
        <v>46074.652314814812</v>
      </c>
      <c r="U220" s="2">
        <v>46074.66207175926</v>
      </c>
      <c r="V220" s="3">
        <v>9.7569444444444448E-3</v>
      </c>
      <c r="W220" t="s">
        <v>60</v>
      </c>
      <c r="X220">
        <v>21</v>
      </c>
      <c r="Y220">
        <v>50</v>
      </c>
      <c r="Z220" s="3">
        <v>1.7499999999999998E-2</v>
      </c>
      <c r="AA220">
        <v>0.42</v>
      </c>
      <c r="AB220" t="s">
        <v>48</v>
      </c>
      <c r="AC220" s="3">
        <v>0.46746527777777774</v>
      </c>
      <c r="AD220" t="s">
        <v>64</v>
      </c>
      <c r="AE220" t="s">
        <v>38</v>
      </c>
      <c r="AF220" t="s">
        <v>168</v>
      </c>
      <c r="AG220" t="s">
        <v>169</v>
      </c>
      <c r="AH220" t="s">
        <v>35</v>
      </c>
      <c r="AI220" t="s">
        <v>256</v>
      </c>
    </row>
    <row r="221" spans="1:35">
      <c r="A221">
        <v>22958</v>
      </c>
      <c r="B221" t="s">
        <v>294</v>
      </c>
      <c r="C221">
        <v>4175</v>
      </c>
      <c r="D221" t="s">
        <v>195</v>
      </c>
      <c r="E221">
        <v>3874</v>
      </c>
      <c r="F221" t="s">
        <v>211</v>
      </c>
      <c r="G221" s="1">
        <v>46074</v>
      </c>
      <c r="H221" t="s">
        <v>64</v>
      </c>
      <c r="I221" t="s">
        <v>45</v>
      </c>
      <c r="J221" t="s">
        <v>102</v>
      </c>
      <c r="K221" t="s">
        <v>143</v>
      </c>
      <c r="L221">
        <v>102666</v>
      </c>
      <c r="M221">
        <v>0</v>
      </c>
      <c r="N221">
        <v>0</v>
      </c>
      <c r="O221">
        <v>0</v>
      </c>
      <c r="P221" t="s">
        <v>52</v>
      </c>
      <c r="Q221" t="s">
        <v>194</v>
      </c>
      <c r="R221" t="s">
        <v>36</v>
      </c>
      <c r="S221" t="s">
        <v>144</v>
      </c>
      <c r="T221" s="2">
        <v>46074.694745370369</v>
      </c>
      <c r="U221" s="2">
        <v>46074.718460648146</v>
      </c>
      <c r="V221" s="3">
        <v>2.3715277777777776E-2</v>
      </c>
      <c r="W221" t="s">
        <v>60</v>
      </c>
      <c r="X221">
        <v>21</v>
      </c>
      <c r="Y221">
        <v>50</v>
      </c>
      <c r="Z221" s="3">
        <v>1.7499999999999998E-2</v>
      </c>
      <c r="AA221">
        <v>0.42</v>
      </c>
      <c r="AB221" t="s">
        <v>48</v>
      </c>
      <c r="AC221" s="3">
        <v>0.46746527777777774</v>
      </c>
      <c r="AD221" t="s">
        <v>64</v>
      </c>
      <c r="AE221" t="s">
        <v>38</v>
      </c>
      <c r="AF221" t="s">
        <v>168</v>
      </c>
      <c r="AG221" t="s">
        <v>169</v>
      </c>
      <c r="AH221" t="s">
        <v>35</v>
      </c>
      <c r="AI221" t="s">
        <v>256</v>
      </c>
    </row>
    <row r="222" spans="1:35">
      <c r="A222">
        <v>22958</v>
      </c>
      <c r="B222" t="s">
        <v>294</v>
      </c>
      <c r="C222">
        <v>4175</v>
      </c>
      <c r="D222" t="s">
        <v>195</v>
      </c>
      <c r="E222">
        <v>3874</v>
      </c>
      <c r="F222" t="s">
        <v>211</v>
      </c>
      <c r="G222" s="1">
        <v>46074</v>
      </c>
      <c r="H222" t="s">
        <v>64</v>
      </c>
      <c r="I222" t="s">
        <v>45</v>
      </c>
      <c r="J222" t="s">
        <v>102</v>
      </c>
      <c r="K222" t="s">
        <v>143</v>
      </c>
      <c r="L222">
        <v>102667</v>
      </c>
      <c r="M222">
        <v>0</v>
      </c>
      <c r="N222">
        <v>0</v>
      </c>
      <c r="O222">
        <v>0</v>
      </c>
      <c r="P222" t="s">
        <v>52</v>
      </c>
      <c r="Q222" t="s">
        <v>194</v>
      </c>
      <c r="R222" t="s">
        <v>36</v>
      </c>
      <c r="S222" t="s">
        <v>144</v>
      </c>
      <c r="T222" s="2">
        <v>46074.746967592589</v>
      </c>
      <c r="U222" s="2">
        <v>46074.80537037037</v>
      </c>
      <c r="V222" s="3">
        <v>5.8402777777777776E-2</v>
      </c>
      <c r="W222" t="s">
        <v>60</v>
      </c>
      <c r="X222">
        <v>79</v>
      </c>
      <c r="Y222">
        <v>50</v>
      </c>
      <c r="Z222" s="3">
        <v>6.5833333333333341E-2</v>
      </c>
      <c r="AA222">
        <v>1.58</v>
      </c>
      <c r="AB222" t="s">
        <v>48</v>
      </c>
      <c r="AC222" s="3">
        <v>0.46746527777777774</v>
      </c>
      <c r="AD222" t="s">
        <v>64</v>
      </c>
      <c r="AE222" t="s">
        <v>38</v>
      </c>
      <c r="AF222" t="s">
        <v>168</v>
      </c>
      <c r="AG222" t="s">
        <v>169</v>
      </c>
      <c r="AH222" t="s">
        <v>35</v>
      </c>
      <c r="AI222" t="s">
        <v>256</v>
      </c>
    </row>
    <row r="223" spans="1:35">
      <c r="A223">
        <v>22958</v>
      </c>
      <c r="B223" t="s">
        <v>294</v>
      </c>
      <c r="C223">
        <v>4175</v>
      </c>
      <c r="D223" t="s">
        <v>195</v>
      </c>
      <c r="E223">
        <v>3874</v>
      </c>
      <c r="F223" t="s">
        <v>211</v>
      </c>
      <c r="G223" s="1">
        <v>46074</v>
      </c>
      <c r="H223" t="s">
        <v>64</v>
      </c>
      <c r="I223" t="s">
        <v>45</v>
      </c>
      <c r="J223" t="s">
        <v>105</v>
      </c>
      <c r="K223" t="s">
        <v>181</v>
      </c>
      <c r="L223">
        <v>102460</v>
      </c>
      <c r="M223">
        <v>0</v>
      </c>
      <c r="N223">
        <v>0</v>
      </c>
      <c r="O223">
        <v>0</v>
      </c>
      <c r="P223" t="s">
        <v>99</v>
      </c>
      <c r="Q223" t="s">
        <v>223</v>
      </c>
      <c r="R223" t="s">
        <v>36</v>
      </c>
      <c r="S223" t="s">
        <v>182</v>
      </c>
      <c r="T223" s="2">
        <v>46074.662199074075</v>
      </c>
      <c r="U223" s="2">
        <v>46074.665092592593</v>
      </c>
      <c r="V223" s="3">
        <v>2.8935185185185188E-3</v>
      </c>
      <c r="W223" t="s">
        <v>49</v>
      </c>
      <c r="X223">
        <v>1</v>
      </c>
      <c r="Y223">
        <v>1</v>
      </c>
      <c r="Z223" s="3">
        <v>4.1666666666666664E-2</v>
      </c>
      <c r="AA223">
        <v>1</v>
      </c>
      <c r="AB223" t="s">
        <v>48</v>
      </c>
      <c r="AC223" s="3">
        <v>0.46746527777777774</v>
      </c>
      <c r="AD223" t="s">
        <v>64</v>
      </c>
      <c r="AE223" t="s">
        <v>38</v>
      </c>
      <c r="AF223" t="s">
        <v>168</v>
      </c>
      <c r="AG223" t="s">
        <v>169</v>
      </c>
      <c r="AH223" t="s">
        <v>35</v>
      </c>
      <c r="AI223" t="s">
        <v>256</v>
      </c>
    </row>
    <row r="224" spans="1:35">
      <c r="A224">
        <v>22958</v>
      </c>
      <c r="B224" t="s">
        <v>294</v>
      </c>
      <c r="C224">
        <v>4175</v>
      </c>
      <c r="D224" t="s">
        <v>195</v>
      </c>
      <c r="E224">
        <v>3874</v>
      </c>
      <c r="F224" t="s">
        <v>211</v>
      </c>
      <c r="G224" s="1">
        <v>46074</v>
      </c>
      <c r="H224" t="s">
        <v>64</v>
      </c>
      <c r="I224" t="s">
        <v>45</v>
      </c>
      <c r="J224" t="s">
        <v>105</v>
      </c>
      <c r="K224" t="s">
        <v>270</v>
      </c>
      <c r="L224">
        <v>100413</v>
      </c>
      <c r="M224">
        <v>0</v>
      </c>
      <c r="N224">
        <v>0</v>
      </c>
      <c r="O224">
        <v>0</v>
      </c>
      <c r="P224" t="s">
        <v>99</v>
      </c>
      <c r="Q224" t="s">
        <v>223</v>
      </c>
      <c r="R224" t="s">
        <v>36</v>
      </c>
      <c r="S224" t="s">
        <v>172</v>
      </c>
      <c r="T224" s="2">
        <v>46074.836585648147</v>
      </c>
      <c r="U224" s="2">
        <v>46074.840462962966</v>
      </c>
      <c r="V224" s="3">
        <v>3.8773148148148143E-3</v>
      </c>
      <c r="W224" t="s">
        <v>49</v>
      </c>
      <c r="X224">
        <v>1</v>
      </c>
      <c r="Y224">
        <v>1</v>
      </c>
      <c r="Z224" s="3">
        <v>4.1666666666666664E-2</v>
      </c>
      <c r="AA224">
        <v>1</v>
      </c>
      <c r="AB224" t="s">
        <v>48</v>
      </c>
      <c r="AC224" s="3">
        <v>0.46746527777777774</v>
      </c>
      <c r="AD224" t="s">
        <v>64</v>
      </c>
      <c r="AE224" t="s">
        <v>38</v>
      </c>
      <c r="AF224" t="s">
        <v>168</v>
      </c>
      <c r="AG224" t="s">
        <v>169</v>
      </c>
      <c r="AH224" t="s">
        <v>35</v>
      </c>
      <c r="AI224" t="s">
        <v>256</v>
      </c>
    </row>
    <row r="225" spans="1:35">
      <c r="A225">
        <v>22958</v>
      </c>
      <c r="B225" t="s">
        <v>294</v>
      </c>
      <c r="C225">
        <v>4175</v>
      </c>
      <c r="D225" t="s">
        <v>195</v>
      </c>
      <c r="E225">
        <v>3874</v>
      </c>
      <c r="F225" t="s">
        <v>211</v>
      </c>
      <c r="G225" s="1">
        <v>46074</v>
      </c>
      <c r="H225" t="s">
        <v>64</v>
      </c>
      <c r="I225" t="s">
        <v>45</v>
      </c>
      <c r="J225" t="s">
        <v>102</v>
      </c>
      <c r="K225" t="s">
        <v>143</v>
      </c>
      <c r="L225">
        <v>102657</v>
      </c>
      <c r="M225">
        <v>0</v>
      </c>
      <c r="N225">
        <v>0</v>
      </c>
      <c r="O225">
        <v>0</v>
      </c>
      <c r="P225" t="s">
        <v>52</v>
      </c>
      <c r="Q225" t="s">
        <v>194</v>
      </c>
      <c r="R225" t="s">
        <v>36</v>
      </c>
      <c r="S225" t="s">
        <v>144</v>
      </c>
      <c r="T225" s="2">
        <v>46074.566712962966</v>
      </c>
      <c r="U225" s="2">
        <v>46074.591666666667</v>
      </c>
      <c r="V225" s="3">
        <v>2.49537037037037E-2</v>
      </c>
      <c r="W225" t="s">
        <v>60</v>
      </c>
      <c r="X225">
        <v>9</v>
      </c>
      <c r="Y225">
        <v>50</v>
      </c>
      <c r="Z225" s="3">
        <v>7.4884259259259262E-3</v>
      </c>
      <c r="AA225">
        <v>0.18</v>
      </c>
      <c r="AB225" t="s">
        <v>48</v>
      </c>
      <c r="AC225" s="3">
        <v>0.46746527777777774</v>
      </c>
      <c r="AD225" t="s">
        <v>64</v>
      </c>
      <c r="AE225" t="s">
        <v>38</v>
      </c>
      <c r="AF225" t="s">
        <v>168</v>
      </c>
      <c r="AG225" t="s">
        <v>169</v>
      </c>
      <c r="AH225" t="s">
        <v>35</v>
      </c>
      <c r="AI225" t="s">
        <v>256</v>
      </c>
    </row>
    <row r="226" spans="1:35">
      <c r="A226">
        <v>22958</v>
      </c>
      <c r="B226" t="s">
        <v>294</v>
      </c>
      <c r="C226">
        <v>4175</v>
      </c>
      <c r="D226" t="s">
        <v>195</v>
      </c>
      <c r="E226">
        <v>3874</v>
      </c>
      <c r="F226" t="s">
        <v>211</v>
      </c>
      <c r="G226" s="1">
        <v>46074</v>
      </c>
      <c r="H226" t="s">
        <v>64</v>
      </c>
      <c r="I226" t="s">
        <v>45</v>
      </c>
      <c r="J226" t="s">
        <v>102</v>
      </c>
      <c r="K226" t="s">
        <v>143</v>
      </c>
      <c r="L226">
        <v>102657</v>
      </c>
      <c r="M226">
        <v>0</v>
      </c>
      <c r="N226">
        <v>0</v>
      </c>
      <c r="O226">
        <v>0</v>
      </c>
      <c r="P226" t="s">
        <v>99</v>
      </c>
      <c r="Q226" t="s">
        <v>223</v>
      </c>
      <c r="R226" t="s">
        <v>36</v>
      </c>
      <c r="S226" t="s">
        <v>144</v>
      </c>
      <c r="T226" s="2">
        <v>46074.591805555552</v>
      </c>
      <c r="U226" s="2">
        <v>46074.596562500003</v>
      </c>
      <c r="V226" s="3">
        <v>4.7569444444444447E-3</v>
      </c>
      <c r="W226" t="s">
        <v>49</v>
      </c>
      <c r="X226">
        <v>1</v>
      </c>
      <c r="Y226">
        <v>1</v>
      </c>
      <c r="Z226" s="3">
        <v>4.1666666666666664E-2</v>
      </c>
      <c r="AA226">
        <v>1</v>
      </c>
      <c r="AB226" t="s">
        <v>48</v>
      </c>
      <c r="AC226" s="3">
        <v>0.46746527777777774</v>
      </c>
      <c r="AD226" t="s">
        <v>64</v>
      </c>
      <c r="AE226" t="s">
        <v>38</v>
      </c>
      <c r="AF226" t="s">
        <v>168</v>
      </c>
      <c r="AG226" t="s">
        <v>169</v>
      </c>
      <c r="AH226" t="s">
        <v>35</v>
      </c>
      <c r="AI226" t="s">
        <v>256</v>
      </c>
    </row>
    <row r="227" spans="1:35">
      <c r="A227">
        <v>22958</v>
      </c>
      <c r="B227" t="s">
        <v>294</v>
      </c>
      <c r="C227">
        <v>4175</v>
      </c>
      <c r="D227" t="s">
        <v>195</v>
      </c>
      <c r="E227">
        <v>3874</v>
      </c>
      <c r="F227" t="s">
        <v>211</v>
      </c>
      <c r="G227" s="1">
        <v>46074</v>
      </c>
      <c r="H227" t="s">
        <v>64</v>
      </c>
      <c r="I227" t="s">
        <v>45</v>
      </c>
      <c r="J227" t="s">
        <v>102</v>
      </c>
      <c r="K227" t="s">
        <v>143</v>
      </c>
      <c r="L227">
        <v>102659</v>
      </c>
      <c r="M227">
        <v>0</v>
      </c>
      <c r="N227">
        <v>0</v>
      </c>
      <c r="O227">
        <v>0</v>
      </c>
      <c r="P227" t="s">
        <v>52</v>
      </c>
      <c r="Q227" t="s">
        <v>194</v>
      </c>
      <c r="R227" t="s">
        <v>36</v>
      </c>
      <c r="S227" t="s">
        <v>144</v>
      </c>
      <c r="T227" s="2">
        <v>46074.596678240741</v>
      </c>
      <c r="U227" s="2">
        <v>46074.648379629631</v>
      </c>
      <c r="V227" s="3">
        <v>5.1701388888888887E-2</v>
      </c>
      <c r="W227" t="s">
        <v>60</v>
      </c>
      <c r="X227">
        <v>31</v>
      </c>
      <c r="Y227">
        <v>50</v>
      </c>
      <c r="Z227" s="3">
        <v>2.5821759259259256E-2</v>
      </c>
      <c r="AA227">
        <v>0.62</v>
      </c>
      <c r="AB227" t="s">
        <v>48</v>
      </c>
      <c r="AC227" s="3">
        <v>0.46746527777777774</v>
      </c>
      <c r="AD227" t="s">
        <v>64</v>
      </c>
      <c r="AE227" t="s">
        <v>38</v>
      </c>
      <c r="AF227" t="s">
        <v>168</v>
      </c>
      <c r="AG227" t="s">
        <v>169</v>
      </c>
      <c r="AH227" t="s">
        <v>35</v>
      </c>
      <c r="AI227" t="s">
        <v>256</v>
      </c>
    </row>
    <row r="228" spans="1:35">
      <c r="A228">
        <v>22961</v>
      </c>
      <c r="B228" t="s">
        <v>271</v>
      </c>
      <c r="C228">
        <v>4175</v>
      </c>
      <c r="D228" t="s">
        <v>195</v>
      </c>
      <c r="E228">
        <v>3874</v>
      </c>
      <c r="F228" t="s">
        <v>211</v>
      </c>
      <c r="G228" s="1">
        <v>46074</v>
      </c>
      <c r="H228" t="s">
        <v>64</v>
      </c>
      <c r="I228" t="s">
        <v>45</v>
      </c>
      <c r="J228" t="s">
        <v>132</v>
      </c>
      <c r="K228" t="s">
        <v>206</v>
      </c>
      <c r="L228">
        <v>7332</v>
      </c>
      <c r="M228">
        <v>0</v>
      </c>
      <c r="N228">
        <v>0</v>
      </c>
      <c r="O228">
        <v>0</v>
      </c>
      <c r="P228" t="s">
        <v>52</v>
      </c>
      <c r="Q228" t="s">
        <v>140</v>
      </c>
      <c r="R228" t="s">
        <v>36</v>
      </c>
      <c r="S228" t="s">
        <v>186</v>
      </c>
      <c r="T228" s="2">
        <v>46074.805937500001</v>
      </c>
      <c r="U228" s="2">
        <v>46074.846724537034</v>
      </c>
      <c r="V228" s="3">
        <v>4.0787037037037038E-2</v>
      </c>
      <c r="W228" t="s">
        <v>60</v>
      </c>
      <c r="X228">
        <v>10</v>
      </c>
      <c r="Y228">
        <v>20</v>
      </c>
      <c r="Z228" s="3">
        <v>2.0833333333333332E-2</v>
      </c>
      <c r="AA228">
        <v>0.5</v>
      </c>
      <c r="AB228" t="s">
        <v>48</v>
      </c>
      <c r="AC228" s="3">
        <v>0.25208333333333333</v>
      </c>
      <c r="AD228" t="s">
        <v>64</v>
      </c>
      <c r="AE228" t="s">
        <v>38</v>
      </c>
      <c r="AF228" t="s">
        <v>168</v>
      </c>
      <c r="AG228" t="s">
        <v>169</v>
      </c>
      <c r="AH228" t="s">
        <v>35</v>
      </c>
      <c r="AI228" t="s">
        <v>256</v>
      </c>
    </row>
    <row r="229" spans="1:35">
      <c r="A229">
        <v>22961</v>
      </c>
      <c r="B229" t="s">
        <v>271</v>
      </c>
      <c r="C229">
        <v>4175</v>
      </c>
      <c r="D229" t="s">
        <v>195</v>
      </c>
      <c r="E229">
        <v>3874</v>
      </c>
      <c r="F229" t="s">
        <v>211</v>
      </c>
      <c r="G229" s="1">
        <v>46074</v>
      </c>
      <c r="H229" t="s">
        <v>64</v>
      </c>
      <c r="I229" t="s">
        <v>45</v>
      </c>
      <c r="J229" t="s">
        <v>132</v>
      </c>
      <c r="K229" t="s">
        <v>225</v>
      </c>
      <c r="L229">
        <v>106363</v>
      </c>
      <c r="M229">
        <v>0</v>
      </c>
      <c r="N229">
        <v>0</v>
      </c>
      <c r="O229">
        <v>0</v>
      </c>
      <c r="P229" t="s">
        <v>52</v>
      </c>
      <c r="Q229" t="s">
        <v>140</v>
      </c>
      <c r="R229" t="s">
        <v>36</v>
      </c>
      <c r="S229" t="s">
        <v>226</v>
      </c>
      <c r="T229" s="2">
        <v>46073.838564814818</v>
      </c>
      <c r="U229" s="2">
        <v>46074.888368055559</v>
      </c>
      <c r="V229" s="3">
        <v>5.4212962962962963E-2</v>
      </c>
      <c r="W229" t="s">
        <v>60</v>
      </c>
      <c r="X229">
        <v>7</v>
      </c>
      <c r="Y229">
        <v>20</v>
      </c>
      <c r="Z229" s="3">
        <v>1.4583333333333332E-2</v>
      </c>
      <c r="AA229">
        <v>0.35</v>
      </c>
      <c r="AB229" t="s">
        <v>48</v>
      </c>
      <c r="AC229" s="3">
        <v>0.25208333333333333</v>
      </c>
      <c r="AD229" t="s">
        <v>64</v>
      </c>
      <c r="AE229" t="s">
        <v>38</v>
      </c>
      <c r="AF229" t="s">
        <v>168</v>
      </c>
      <c r="AG229" t="s">
        <v>169</v>
      </c>
      <c r="AH229" t="s">
        <v>35</v>
      </c>
      <c r="AI229" t="s">
        <v>256</v>
      </c>
    </row>
    <row r="230" spans="1:35">
      <c r="A230">
        <v>22961</v>
      </c>
      <c r="B230" t="s">
        <v>271</v>
      </c>
      <c r="C230">
        <v>4175</v>
      </c>
      <c r="D230" t="s">
        <v>195</v>
      </c>
      <c r="E230">
        <v>3874</v>
      </c>
      <c r="F230" t="s">
        <v>211</v>
      </c>
      <c r="G230" s="1">
        <v>46074</v>
      </c>
      <c r="H230" t="s">
        <v>64</v>
      </c>
      <c r="I230" t="s">
        <v>45</v>
      </c>
      <c r="J230" t="s">
        <v>132</v>
      </c>
      <c r="K230" t="s">
        <v>225</v>
      </c>
      <c r="L230">
        <v>106349</v>
      </c>
      <c r="M230">
        <v>0</v>
      </c>
      <c r="N230">
        <v>0</v>
      </c>
      <c r="O230">
        <v>0</v>
      </c>
      <c r="P230" t="s">
        <v>52</v>
      </c>
      <c r="Q230" t="s">
        <v>140</v>
      </c>
      <c r="R230" t="s">
        <v>36</v>
      </c>
      <c r="S230" t="s">
        <v>226</v>
      </c>
      <c r="T230" s="2">
        <v>46074.534097222226</v>
      </c>
      <c r="U230" s="2">
        <v>46074.551030092596</v>
      </c>
      <c r="V230" s="3">
        <v>1.6932870370370369E-2</v>
      </c>
      <c r="W230" t="s">
        <v>60</v>
      </c>
      <c r="X230">
        <v>5</v>
      </c>
      <c r="Y230">
        <v>20</v>
      </c>
      <c r="Z230" s="3">
        <v>1.0416666666666666E-2</v>
      </c>
      <c r="AA230">
        <v>0.25</v>
      </c>
      <c r="AB230" t="s">
        <v>48</v>
      </c>
      <c r="AC230" s="3">
        <v>0.25208333333333333</v>
      </c>
      <c r="AD230" t="s">
        <v>64</v>
      </c>
      <c r="AE230" t="s">
        <v>38</v>
      </c>
      <c r="AF230" t="s">
        <v>168</v>
      </c>
      <c r="AG230" t="s">
        <v>169</v>
      </c>
      <c r="AH230" t="s">
        <v>35</v>
      </c>
      <c r="AI230" t="s">
        <v>256</v>
      </c>
    </row>
    <row r="231" spans="1:35">
      <c r="A231">
        <v>22961</v>
      </c>
      <c r="B231" t="s">
        <v>271</v>
      </c>
      <c r="C231">
        <v>4175</v>
      </c>
      <c r="D231" t="s">
        <v>195</v>
      </c>
      <c r="E231">
        <v>3874</v>
      </c>
      <c r="F231" t="s">
        <v>211</v>
      </c>
      <c r="G231" s="1">
        <v>46074</v>
      </c>
      <c r="H231" t="s">
        <v>64</v>
      </c>
      <c r="I231" t="s">
        <v>45</v>
      </c>
      <c r="J231" t="s">
        <v>132</v>
      </c>
      <c r="K231" t="s">
        <v>206</v>
      </c>
      <c r="L231">
        <v>7334</v>
      </c>
      <c r="M231">
        <v>0</v>
      </c>
      <c r="N231">
        <v>0</v>
      </c>
      <c r="O231">
        <v>0</v>
      </c>
      <c r="P231" t="s">
        <v>52</v>
      </c>
      <c r="Q231" t="s">
        <v>140</v>
      </c>
      <c r="R231" t="s">
        <v>36</v>
      </c>
      <c r="S231" t="s">
        <v>186</v>
      </c>
      <c r="T231" s="2">
        <v>46074.846851851849</v>
      </c>
      <c r="U231" s="2">
        <v>46074.88685185185</v>
      </c>
      <c r="V231" s="3">
        <v>0.04</v>
      </c>
      <c r="W231" t="s">
        <v>60</v>
      </c>
      <c r="X231">
        <v>12</v>
      </c>
      <c r="Y231">
        <v>20</v>
      </c>
      <c r="Z231" s="3">
        <v>2.4999999999999998E-2</v>
      </c>
      <c r="AA231">
        <v>0.6</v>
      </c>
      <c r="AB231" t="s">
        <v>48</v>
      </c>
      <c r="AC231" s="3">
        <v>0.25208333333333333</v>
      </c>
      <c r="AD231" t="s">
        <v>64</v>
      </c>
      <c r="AE231" t="s">
        <v>38</v>
      </c>
      <c r="AF231" t="s">
        <v>168</v>
      </c>
      <c r="AG231" t="s">
        <v>169</v>
      </c>
      <c r="AH231" t="s">
        <v>35</v>
      </c>
      <c r="AI231" t="s">
        <v>256</v>
      </c>
    </row>
    <row r="232" spans="1:35">
      <c r="A232">
        <v>22961</v>
      </c>
      <c r="B232" t="s">
        <v>271</v>
      </c>
      <c r="C232">
        <v>4175</v>
      </c>
      <c r="D232" t="s">
        <v>195</v>
      </c>
      <c r="E232">
        <v>3874</v>
      </c>
      <c r="F232" t="s">
        <v>211</v>
      </c>
      <c r="G232" s="1">
        <v>46074</v>
      </c>
      <c r="H232" t="s">
        <v>64</v>
      </c>
      <c r="I232" t="s">
        <v>45</v>
      </c>
      <c r="J232" t="s">
        <v>132</v>
      </c>
      <c r="K232" t="s">
        <v>225</v>
      </c>
      <c r="L232">
        <v>106353</v>
      </c>
      <c r="M232">
        <v>0</v>
      </c>
      <c r="N232">
        <v>0</v>
      </c>
      <c r="O232">
        <v>0</v>
      </c>
      <c r="P232" t="s">
        <v>52</v>
      </c>
      <c r="Q232" t="s">
        <v>140</v>
      </c>
      <c r="R232" t="s">
        <v>36</v>
      </c>
      <c r="S232" t="s">
        <v>226</v>
      </c>
      <c r="T232" s="2">
        <v>46074.660891203705</v>
      </c>
      <c r="U232" s="2">
        <v>46074.711736111109</v>
      </c>
      <c r="V232" s="3">
        <v>5.0625000000000003E-2</v>
      </c>
      <c r="W232" t="s">
        <v>60</v>
      </c>
      <c r="X232">
        <v>29</v>
      </c>
      <c r="Y232">
        <v>20</v>
      </c>
      <c r="Z232" s="3">
        <v>6.0416666666666667E-2</v>
      </c>
      <c r="AA232">
        <v>1.45</v>
      </c>
      <c r="AB232" t="s">
        <v>48</v>
      </c>
      <c r="AC232" s="3">
        <v>0.25208333333333333</v>
      </c>
      <c r="AD232" t="s">
        <v>64</v>
      </c>
      <c r="AE232" t="s">
        <v>38</v>
      </c>
      <c r="AF232" t="s">
        <v>168</v>
      </c>
      <c r="AG232" t="s">
        <v>169</v>
      </c>
      <c r="AH232" t="s">
        <v>35</v>
      </c>
      <c r="AI232" t="s">
        <v>256</v>
      </c>
    </row>
    <row r="233" spans="1:35">
      <c r="A233">
        <v>22961</v>
      </c>
      <c r="B233" t="s">
        <v>271</v>
      </c>
      <c r="C233">
        <v>4175</v>
      </c>
      <c r="D233" t="s">
        <v>195</v>
      </c>
      <c r="E233">
        <v>3874</v>
      </c>
      <c r="F233" t="s">
        <v>211</v>
      </c>
      <c r="G233" s="1">
        <v>46074</v>
      </c>
      <c r="H233" t="s">
        <v>64</v>
      </c>
      <c r="I233" t="s">
        <v>45</v>
      </c>
      <c r="J233" t="s">
        <v>132</v>
      </c>
      <c r="K233" t="s">
        <v>161</v>
      </c>
      <c r="L233">
        <v>100977</v>
      </c>
      <c r="M233">
        <v>0</v>
      </c>
      <c r="N233">
        <v>0</v>
      </c>
      <c r="O233">
        <v>0</v>
      </c>
      <c r="P233" t="s">
        <v>52</v>
      </c>
      <c r="Q233" t="s">
        <v>140</v>
      </c>
      <c r="R233" t="s">
        <v>36</v>
      </c>
      <c r="S233" t="s">
        <v>97</v>
      </c>
      <c r="T233" s="2">
        <v>46073.866643518515</v>
      </c>
      <c r="U233" s="2">
        <v>46074.507905092592</v>
      </c>
      <c r="V233" s="3">
        <v>5.512731481481481E-2</v>
      </c>
      <c r="W233" t="s">
        <v>60</v>
      </c>
      <c r="X233">
        <v>28</v>
      </c>
      <c r="Y233">
        <v>20</v>
      </c>
      <c r="Z233" s="3">
        <v>5.8333333333333327E-2</v>
      </c>
      <c r="AA233">
        <v>1.4</v>
      </c>
      <c r="AB233" t="s">
        <v>48</v>
      </c>
      <c r="AC233" s="3">
        <v>0.25208333333333333</v>
      </c>
      <c r="AD233" t="s">
        <v>64</v>
      </c>
      <c r="AE233" t="s">
        <v>38</v>
      </c>
      <c r="AF233" t="s">
        <v>168</v>
      </c>
      <c r="AG233" t="s">
        <v>169</v>
      </c>
      <c r="AH233" t="s">
        <v>35</v>
      </c>
      <c r="AI233" t="s">
        <v>256</v>
      </c>
    </row>
    <row r="234" spans="1:35">
      <c r="A234">
        <v>22961</v>
      </c>
      <c r="B234" t="s">
        <v>271</v>
      </c>
      <c r="C234">
        <v>4175</v>
      </c>
      <c r="D234" t="s">
        <v>195</v>
      </c>
      <c r="E234">
        <v>3874</v>
      </c>
      <c r="F234" t="s">
        <v>211</v>
      </c>
      <c r="G234" s="1">
        <v>46074</v>
      </c>
      <c r="H234" t="s">
        <v>64</v>
      </c>
      <c r="I234" t="s">
        <v>45</v>
      </c>
      <c r="J234" t="s">
        <v>132</v>
      </c>
      <c r="K234" t="s">
        <v>272</v>
      </c>
      <c r="L234">
        <v>106079</v>
      </c>
      <c r="M234">
        <v>0</v>
      </c>
      <c r="N234">
        <v>0</v>
      </c>
      <c r="O234">
        <v>0</v>
      </c>
      <c r="P234" t="s">
        <v>52</v>
      </c>
      <c r="Q234" t="s">
        <v>140</v>
      </c>
      <c r="R234" t="s">
        <v>36</v>
      </c>
      <c r="S234" t="s">
        <v>97</v>
      </c>
      <c r="T234" s="2">
        <v>46074.712083333332</v>
      </c>
      <c r="U234" s="2">
        <v>46074.750810185185</v>
      </c>
      <c r="V234" s="3">
        <v>3.8726851851851853E-2</v>
      </c>
      <c r="W234" t="s">
        <v>60</v>
      </c>
      <c r="X234">
        <v>30</v>
      </c>
      <c r="Y234">
        <v>20</v>
      </c>
      <c r="Z234" s="3">
        <v>6.25E-2</v>
      </c>
      <c r="AA234">
        <v>1.5</v>
      </c>
      <c r="AB234" t="s">
        <v>48</v>
      </c>
      <c r="AC234" s="3">
        <v>0.25208333333333333</v>
      </c>
      <c r="AD234" t="s">
        <v>64</v>
      </c>
      <c r="AE234" t="s">
        <v>38</v>
      </c>
      <c r="AF234" t="s">
        <v>168</v>
      </c>
      <c r="AG234" t="s">
        <v>169</v>
      </c>
      <c r="AH234" t="s">
        <v>35</v>
      </c>
      <c r="AI234" t="s">
        <v>256</v>
      </c>
    </row>
    <row r="235" spans="1:35">
      <c r="A235">
        <v>23043</v>
      </c>
      <c r="B235" t="s">
        <v>273</v>
      </c>
      <c r="C235">
        <v>4175</v>
      </c>
      <c r="D235" t="s">
        <v>195</v>
      </c>
      <c r="E235">
        <v>3874</v>
      </c>
      <c r="F235" t="s">
        <v>211</v>
      </c>
      <c r="G235" s="1">
        <v>46074</v>
      </c>
      <c r="H235" t="s">
        <v>64</v>
      </c>
      <c r="I235" t="s">
        <v>45</v>
      </c>
      <c r="J235" t="s">
        <v>158</v>
      </c>
      <c r="K235" t="s">
        <v>165</v>
      </c>
      <c r="L235">
        <v>101586</v>
      </c>
      <c r="M235">
        <v>0</v>
      </c>
      <c r="N235">
        <v>0</v>
      </c>
      <c r="O235">
        <v>0</v>
      </c>
      <c r="P235" t="s">
        <v>99</v>
      </c>
      <c r="Q235" t="s">
        <v>223</v>
      </c>
      <c r="R235" t="s">
        <v>36</v>
      </c>
      <c r="S235" t="s">
        <v>166</v>
      </c>
      <c r="T235" s="2">
        <v>46074.412581018521</v>
      </c>
      <c r="U235" s="2">
        <v>46074.450729166667</v>
      </c>
      <c r="V235" s="3">
        <v>3.8148148148148146E-2</v>
      </c>
      <c r="W235" t="s">
        <v>49</v>
      </c>
      <c r="X235">
        <v>1</v>
      </c>
      <c r="Y235">
        <v>1</v>
      </c>
      <c r="Z235" s="3">
        <v>4.1666666666666664E-2</v>
      </c>
      <c r="AA235">
        <v>1</v>
      </c>
      <c r="AB235" t="s">
        <v>48</v>
      </c>
      <c r="AC235" s="3">
        <v>0.25</v>
      </c>
      <c r="AD235" t="s">
        <v>64</v>
      </c>
      <c r="AE235" t="s">
        <v>38</v>
      </c>
      <c r="AF235" t="s">
        <v>189</v>
      </c>
      <c r="AG235" t="s">
        <v>190</v>
      </c>
      <c r="AH235" t="s">
        <v>35</v>
      </c>
      <c r="AI235" t="s">
        <v>256</v>
      </c>
    </row>
    <row r="236" spans="1:35">
      <c r="A236">
        <v>23043</v>
      </c>
      <c r="B236" t="s">
        <v>273</v>
      </c>
      <c r="C236">
        <v>4175</v>
      </c>
      <c r="D236" t="s">
        <v>195</v>
      </c>
      <c r="E236">
        <v>3874</v>
      </c>
      <c r="F236" t="s">
        <v>211</v>
      </c>
      <c r="G236" s="1">
        <v>46074</v>
      </c>
      <c r="H236" t="s">
        <v>64</v>
      </c>
      <c r="I236" t="s">
        <v>45</v>
      </c>
      <c r="J236" t="s">
        <v>59</v>
      </c>
      <c r="K236" t="s">
        <v>68</v>
      </c>
      <c r="L236">
        <v>20924</v>
      </c>
      <c r="M236">
        <v>0</v>
      </c>
      <c r="N236">
        <v>0</v>
      </c>
      <c r="O236">
        <v>0</v>
      </c>
      <c r="P236" t="s">
        <v>99</v>
      </c>
      <c r="Q236" t="s">
        <v>224</v>
      </c>
      <c r="R236" t="s">
        <v>36</v>
      </c>
      <c r="S236" t="s">
        <v>69</v>
      </c>
      <c r="T236" s="2">
        <v>46074.297002314815</v>
      </c>
      <c r="U236" s="2">
        <v>46074.310393518521</v>
      </c>
      <c r="V236" s="3">
        <v>1.3391203703703704E-2</v>
      </c>
      <c r="W236" t="s">
        <v>49</v>
      </c>
      <c r="X236">
        <v>1</v>
      </c>
      <c r="Y236">
        <v>2</v>
      </c>
      <c r="Z236" s="3">
        <v>2.0833333333333332E-2</v>
      </c>
      <c r="AA236">
        <v>0.5</v>
      </c>
      <c r="AB236" t="s">
        <v>48</v>
      </c>
      <c r="AC236" s="3">
        <v>0.25</v>
      </c>
      <c r="AD236" t="s">
        <v>64</v>
      </c>
      <c r="AE236" t="s">
        <v>38</v>
      </c>
      <c r="AF236" t="s">
        <v>189</v>
      </c>
      <c r="AG236" t="s">
        <v>190</v>
      </c>
      <c r="AH236" t="s">
        <v>35</v>
      </c>
      <c r="AI236" t="s">
        <v>256</v>
      </c>
    </row>
    <row r="237" spans="1:35">
      <c r="A237">
        <v>23043</v>
      </c>
      <c r="B237" t="s">
        <v>273</v>
      </c>
      <c r="C237">
        <v>4175</v>
      </c>
      <c r="D237" t="s">
        <v>195</v>
      </c>
      <c r="E237">
        <v>3874</v>
      </c>
      <c r="F237" t="s">
        <v>211</v>
      </c>
      <c r="G237" s="1">
        <v>46074</v>
      </c>
      <c r="H237" t="s">
        <v>64</v>
      </c>
      <c r="I237" t="s">
        <v>45</v>
      </c>
      <c r="J237" t="s">
        <v>82</v>
      </c>
      <c r="K237" t="s">
        <v>183</v>
      </c>
      <c r="L237">
        <v>100020</v>
      </c>
      <c r="M237">
        <v>0</v>
      </c>
      <c r="N237">
        <v>0</v>
      </c>
      <c r="O237">
        <v>0</v>
      </c>
      <c r="P237" t="s">
        <v>99</v>
      </c>
      <c r="Q237" t="s">
        <v>224</v>
      </c>
      <c r="R237" t="s">
        <v>36</v>
      </c>
      <c r="S237" t="s">
        <v>97</v>
      </c>
      <c r="T237" s="2">
        <v>46074.451967592591</v>
      </c>
      <c r="U237" s="2">
        <v>46074.486851851849</v>
      </c>
      <c r="V237" s="3">
        <v>3.4884259259259261E-2</v>
      </c>
      <c r="W237" t="s">
        <v>49</v>
      </c>
      <c r="X237">
        <v>1</v>
      </c>
      <c r="Y237">
        <v>2</v>
      </c>
      <c r="Z237" s="3">
        <v>2.0833333333333332E-2</v>
      </c>
      <c r="AA237">
        <v>0.5</v>
      </c>
      <c r="AB237" t="s">
        <v>48</v>
      </c>
      <c r="AC237" s="3">
        <v>0.25</v>
      </c>
      <c r="AD237" t="s">
        <v>64</v>
      </c>
      <c r="AE237" t="s">
        <v>38</v>
      </c>
      <c r="AF237" t="s">
        <v>189</v>
      </c>
      <c r="AG237" t="s">
        <v>190</v>
      </c>
      <c r="AH237" t="s">
        <v>35</v>
      </c>
      <c r="AI237" t="s">
        <v>256</v>
      </c>
    </row>
    <row r="238" spans="1:35">
      <c r="A238">
        <v>23043</v>
      </c>
      <c r="B238" t="s">
        <v>273</v>
      </c>
      <c r="C238">
        <v>4175</v>
      </c>
      <c r="D238" t="s">
        <v>195</v>
      </c>
      <c r="E238">
        <v>3874</v>
      </c>
      <c r="F238" t="s">
        <v>211</v>
      </c>
      <c r="G238" s="1">
        <v>46074</v>
      </c>
      <c r="H238" t="s">
        <v>64</v>
      </c>
      <c r="I238" t="s">
        <v>45</v>
      </c>
      <c r="J238" t="s">
        <v>85</v>
      </c>
      <c r="K238" t="s">
        <v>86</v>
      </c>
      <c r="L238">
        <v>374</v>
      </c>
      <c r="M238">
        <v>0</v>
      </c>
      <c r="N238">
        <v>0</v>
      </c>
      <c r="O238">
        <v>0</v>
      </c>
      <c r="P238" t="s">
        <v>99</v>
      </c>
      <c r="Q238" t="s">
        <v>224</v>
      </c>
      <c r="R238" t="s">
        <v>36</v>
      </c>
      <c r="S238" t="s">
        <v>87</v>
      </c>
      <c r="T238" s="2">
        <v>46074.394687499997</v>
      </c>
      <c r="U238" s="2">
        <v>46074.504942129628</v>
      </c>
      <c r="V238" s="3">
        <v>3.4178240740740738E-2</v>
      </c>
      <c r="W238" t="s">
        <v>49</v>
      </c>
      <c r="X238">
        <v>1</v>
      </c>
      <c r="Y238">
        <v>2</v>
      </c>
      <c r="Z238" s="3">
        <v>2.0833333333333332E-2</v>
      </c>
      <c r="AA238">
        <v>0.5</v>
      </c>
      <c r="AB238" t="s">
        <v>48</v>
      </c>
      <c r="AC238" s="3">
        <v>0.25</v>
      </c>
      <c r="AD238" t="s">
        <v>64</v>
      </c>
      <c r="AE238" t="s">
        <v>38</v>
      </c>
      <c r="AF238" t="s">
        <v>189</v>
      </c>
      <c r="AG238" t="s">
        <v>190</v>
      </c>
      <c r="AH238" t="s">
        <v>35</v>
      </c>
      <c r="AI238" t="s">
        <v>256</v>
      </c>
    </row>
    <row r="239" spans="1:35">
      <c r="A239">
        <v>23043</v>
      </c>
      <c r="B239" t="s">
        <v>273</v>
      </c>
      <c r="C239">
        <v>4175</v>
      </c>
      <c r="D239" t="s">
        <v>195</v>
      </c>
      <c r="E239">
        <v>3874</v>
      </c>
      <c r="F239" t="s">
        <v>211</v>
      </c>
      <c r="G239" s="1">
        <v>46074</v>
      </c>
      <c r="H239" t="s">
        <v>64</v>
      </c>
      <c r="I239" t="s">
        <v>45</v>
      </c>
      <c r="J239" t="s">
        <v>85</v>
      </c>
      <c r="K239" t="s">
        <v>136</v>
      </c>
      <c r="L239">
        <v>15327</v>
      </c>
      <c r="M239">
        <v>0</v>
      </c>
      <c r="N239">
        <v>0</v>
      </c>
      <c r="O239">
        <v>0</v>
      </c>
      <c r="P239" t="s">
        <v>99</v>
      </c>
      <c r="Q239" t="s">
        <v>224</v>
      </c>
      <c r="R239" t="s">
        <v>36</v>
      </c>
      <c r="S239" t="s">
        <v>137</v>
      </c>
      <c r="T239" s="2">
        <v>46074.317523148151</v>
      </c>
      <c r="U239" s="2">
        <v>46074.333368055559</v>
      </c>
      <c r="V239" s="3">
        <v>1.5844907407407408E-2</v>
      </c>
      <c r="W239" t="s">
        <v>49</v>
      </c>
      <c r="X239">
        <v>1</v>
      </c>
      <c r="Y239">
        <v>2</v>
      </c>
      <c r="Z239" s="3">
        <v>2.0833333333333332E-2</v>
      </c>
      <c r="AA239">
        <v>0.5</v>
      </c>
      <c r="AB239" t="s">
        <v>48</v>
      </c>
      <c r="AC239" s="3">
        <v>0.25</v>
      </c>
      <c r="AD239" t="s">
        <v>64</v>
      </c>
      <c r="AE239" t="s">
        <v>38</v>
      </c>
      <c r="AF239" t="s">
        <v>189</v>
      </c>
      <c r="AG239" t="s">
        <v>190</v>
      </c>
      <c r="AH239" t="s">
        <v>35</v>
      </c>
      <c r="AI239" t="s">
        <v>256</v>
      </c>
    </row>
    <row r="240" spans="1:35">
      <c r="A240">
        <v>23043</v>
      </c>
      <c r="B240" t="s">
        <v>273</v>
      </c>
      <c r="C240">
        <v>4175</v>
      </c>
      <c r="D240" t="s">
        <v>195</v>
      </c>
      <c r="E240">
        <v>3874</v>
      </c>
      <c r="F240" t="s">
        <v>211</v>
      </c>
      <c r="G240" s="1">
        <v>46074</v>
      </c>
      <c r="H240" t="s">
        <v>64</v>
      </c>
      <c r="I240" t="s">
        <v>45</v>
      </c>
      <c r="J240" t="s">
        <v>85</v>
      </c>
      <c r="K240" t="s">
        <v>136</v>
      </c>
      <c r="L240">
        <v>15326</v>
      </c>
      <c r="M240">
        <v>0</v>
      </c>
      <c r="N240">
        <v>0</v>
      </c>
      <c r="O240">
        <v>0</v>
      </c>
      <c r="P240" t="s">
        <v>99</v>
      </c>
      <c r="Q240" t="s">
        <v>224</v>
      </c>
      <c r="R240" t="s">
        <v>36</v>
      </c>
      <c r="S240" t="s">
        <v>137</v>
      </c>
      <c r="T240" s="2">
        <v>46074.310636574075</v>
      </c>
      <c r="U240" s="2">
        <v>46074.317326388889</v>
      </c>
      <c r="V240" s="3">
        <v>6.6898148148148142E-3</v>
      </c>
      <c r="W240" t="s">
        <v>49</v>
      </c>
      <c r="X240">
        <v>1</v>
      </c>
      <c r="Y240">
        <v>2</v>
      </c>
      <c r="Z240" s="3">
        <v>2.0833333333333332E-2</v>
      </c>
      <c r="AA240">
        <v>0.5</v>
      </c>
      <c r="AB240" t="s">
        <v>48</v>
      </c>
      <c r="AC240" s="3">
        <v>0.25</v>
      </c>
      <c r="AD240" t="s">
        <v>64</v>
      </c>
      <c r="AE240" t="s">
        <v>38</v>
      </c>
      <c r="AF240" t="s">
        <v>189</v>
      </c>
      <c r="AG240" t="s">
        <v>190</v>
      </c>
      <c r="AH240" t="s">
        <v>35</v>
      </c>
      <c r="AI240" t="s">
        <v>256</v>
      </c>
    </row>
    <row r="241" spans="1:35">
      <c r="A241">
        <v>23043</v>
      </c>
      <c r="B241" t="s">
        <v>273</v>
      </c>
      <c r="C241">
        <v>4175</v>
      </c>
      <c r="D241" t="s">
        <v>195</v>
      </c>
      <c r="E241">
        <v>3874</v>
      </c>
      <c r="F241" t="s">
        <v>211</v>
      </c>
      <c r="G241" s="1">
        <v>46074</v>
      </c>
      <c r="H241" t="s">
        <v>64</v>
      </c>
      <c r="I241" t="s">
        <v>45</v>
      </c>
      <c r="J241" t="s">
        <v>85</v>
      </c>
      <c r="K241" t="s">
        <v>232</v>
      </c>
      <c r="L241">
        <v>16677</v>
      </c>
      <c r="M241">
        <v>0</v>
      </c>
      <c r="N241">
        <v>0</v>
      </c>
      <c r="O241">
        <v>0</v>
      </c>
      <c r="P241" t="s">
        <v>99</v>
      </c>
      <c r="Q241" t="s">
        <v>224</v>
      </c>
      <c r="R241" t="s">
        <v>36</v>
      </c>
      <c r="S241" t="s">
        <v>233</v>
      </c>
      <c r="T241" s="2">
        <v>46074.569907407407</v>
      </c>
      <c r="U241" s="2">
        <v>46074.582118055558</v>
      </c>
      <c r="V241" s="3">
        <v>1.2210648148148146E-2</v>
      </c>
      <c r="W241" t="s">
        <v>49</v>
      </c>
      <c r="X241">
        <v>1</v>
      </c>
      <c r="Y241">
        <v>2</v>
      </c>
      <c r="Z241" s="3">
        <v>2.0833333333333332E-2</v>
      </c>
      <c r="AA241">
        <v>0.5</v>
      </c>
      <c r="AB241" t="s">
        <v>48</v>
      </c>
      <c r="AC241" s="3">
        <v>0.25</v>
      </c>
      <c r="AD241" t="s">
        <v>64</v>
      </c>
      <c r="AE241" t="s">
        <v>38</v>
      </c>
      <c r="AF241" t="s">
        <v>189</v>
      </c>
      <c r="AG241" t="s">
        <v>190</v>
      </c>
      <c r="AH241" t="s">
        <v>35</v>
      </c>
      <c r="AI241" t="s">
        <v>256</v>
      </c>
    </row>
    <row r="242" spans="1:35">
      <c r="A242">
        <v>23043</v>
      </c>
      <c r="B242" t="s">
        <v>273</v>
      </c>
      <c r="C242">
        <v>4175</v>
      </c>
      <c r="D242" t="s">
        <v>195</v>
      </c>
      <c r="E242">
        <v>3874</v>
      </c>
      <c r="F242" t="s">
        <v>211</v>
      </c>
      <c r="G242" s="1">
        <v>46074</v>
      </c>
      <c r="H242" t="s">
        <v>64</v>
      </c>
      <c r="I242" t="s">
        <v>45</v>
      </c>
      <c r="J242" t="s">
        <v>59</v>
      </c>
      <c r="K242" t="s">
        <v>68</v>
      </c>
      <c r="L242">
        <v>20925</v>
      </c>
      <c r="M242">
        <v>0</v>
      </c>
      <c r="N242">
        <v>0</v>
      </c>
      <c r="O242">
        <v>0</v>
      </c>
      <c r="P242" t="s">
        <v>99</v>
      </c>
      <c r="Q242" t="s">
        <v>224</v>
      </c>
      <c r="R242" t="s">
        <v>36</v>
      </c>
      <c r="S242" t="s">
        <v>69</v>
      </c>
      <c r="T242" s="2">
        <v>46074.505428240744</v>
      </c>
      <c r="U242" s="2">
        <v>46074.526550925926</v>
      </c>
      <c r="V242" s="3">
        <v>2.1122685185185185E-2</v>
      </c>
      <c r="W242" t="s">
        <v>49</v>
      </c>
      <c r="X242">
        <v>1</v>
      </c>
      <c r="Y242">
        <v>2</v>
      </c>
      <c r="Z242" s="3">
        <v>2.0833333333333332E-2</v>
      </c>
      <c r="AA242">
        <v>0.5</v>
      </c>
      <c r="AB242" t="s">
        <v>48</v>
      </c>
      <c r="AC242" s="3">
        <v>0.25</v>
      </c>
      <c r="AD242" t="s">
        <v>64</v>
      </c>
      <c r="AE242" t="s">
        <v>38</v>
      </c>
      <c r="AF242" t="s">
        <v>189</v>
      </c>
      <c r="AG242" t="s">
        <v>190</v>
      </c>
      <c r="AH242" t="s">
        <v>35</v>
      </c>
      <c r="AI242" t="s">
        <v>256</v>
      </c>
    </row>
    <row r="243" spans="1:35">
      <c r="A243">
        <v>23043</v>
      </c>
      <c r="B243" t="s">
        <v>273</v>
      </c>
      <c r="C243">
        <v>4175</v>
      </c>
      <c r="D243" t="s">
        <v>195</v>
      </c>
      <c r="E243">
        <v>3874</v>
      </c>
      <c r="F243" t="s">
        <v>211</v>
      </c>
      <c r="G243" s="1">
        <v>46074</v>
      </c>
      <c r="H243" t="s">
        <v>64</v>
      </c>
      <c r="I243" t="s">
        <v>45</v>
      </c>
      <c r="J243" t="s">
        <v>90</v>
      </c>
      <c r="K243" t="s">
        <v>91</v>
      </c>
      <c r="L243">
        <v>108606</v>
      </c>
      <c r="M243">
        <v>0</v>
      </c>
      <c r="N243">
        <v>0</v>
      </c>
      <c r="O243">
        <v>0</v>
      </c>
      <c r="P243" t="s">
        <v>99</v>
      </c>
      <c r="Q243" t="s">
        <v>224</v>
      </c>
      <c r="R243" t="s">
        <v>36</v>
      </c>
      <c r="S243" t="s">
        <v>92</v>
      </c>
      <c r="T243" s="2">
        <v>46074.526770833334</v>
      </c>
      <c r="U243" s="2">
        <v>46074.548182870371</v>
      </c>
      <c r="V243" s="3">
        <v>2.1412037037037035E-2</v>
      </c>
      <c r="W243" t="s">
        <v>49</v>
      </c>
      <c r="X243">
        <v>1</v>
      </c>
      <c r="Y243">
        <v>2</v>
      </c>
      <c r="Z243" s="3">
        <v>2.0833333333333332E-2</v>
      </c>
      <c r="AA243">
        <v>0.5</v>
      </c>
      <c r="AB243" t="s">
        <v>48</v>
      </c>
      <c r="AC243" s="3">
        <v>0.25</v>
      </c>
      <c r="AD243" t="s">
        <v>64</v>
      </c>
      <c r="AE243" t="s">
        <v>38</v>
      </c>
      <c r="AF243" t="s">
        <v>189</v>
      </c>
      <c r="AG243" t="s">
        <v>190</v>
      </c>
      <c r="AH243" t="s">
        <v>35</v>
      </c>
      <c r="AI243" t="s">
        <v>256</v>
      </c>
    </row>
    <row r="244" spans="1:35">
      <c r="A244">
        <v>23043</v>
      </c>
      <c r="B244" t="s">
        <v>273</v>
      </c>
      <c r="C244">
        <v>4175</v>
      </c>
      <c r="D244" t="s">
        <v>195</v>
      </c>
      <c r="E244">
        <v>3874</v>
      </c>
      <c r="F244" t="s">
        <v>211</v>
      </c>
      <c r="G244" s="1">
        <v>46074</v>
      </c>
      <c r="H244" t="s">
        <v>64</v>
      </c>
      <c r="I244" t="s">
        <v>45</v>
      </c>
      <c r="J244" t="s">
        <v>85</v>
      </c>
      <c r="K244" t="s">
        <v>136</v>
      </c>
      <c r="L244">
        <v>15328</v>
      </c>
      <c r="M244">
        <v>0</v>
      </c>
      <c r="N244">
        <v>0</v>
      </c>
      <c r="O244">
        <v>0</v>
      </c>
      <c r="P244" t="s">
        <v>99</v>
      </c>
      <c r="Q244" t="s">
        <v>224</v>
      </c>
      <c r="R244" t="s">
        <v>36</v>
      </c>
      <c r="S244" t="s">
        <v>137</v>
      </c>
      <c r="T244" s="2">
        <v>46074.333495370367</v>
      </c>
      <c r="U244" s="2">
        <v>46074.357858796298</v>
      </c>
      <c r="V244" s="3">
        <v>2.4363425925925927E-2</v>
      </c>
      <c r="W244" t="s">
        <v>49</v>
      </c>
      <c r="X244">
        <v>1</v>
      </c>
      <c r="Y244">
        <v>2</v>
      </c>
      <c r="Z244" s="3">
        <v>2.0833333333333332E-2</v>
      </c>
      <c r="AA244">
        <v>0.5</v>
      </c>
      <c r="AB244" t="s">
        <v>48</v>
      </c>
      <c r="AC244" s="3">
        <v>0.25</v>
      </c>
      <c r="AD244" t="s">
        <v>64</v>
      </c>
      <c r="AE244" t="s">
        <v>38</v>
      </c>
      <c r="AF244" t="s">
        <v>189</v>
      </c>
      <c r="AG244" t="s">
        <v>190</v>
      </c>
      <c r="AH244" t="s">
        <v>35</v>
      </c>
      <c r="AI244" t="s">
        <v>256</v>
      </c>
    </row>
    <row r="245" spans="1:35">
      <c r="A245">
        <v>23043</v>
      </c>
      <c r="B245" t="s">
        <v>273</v>
      </c>
      <c r="C245">
        <v>4175</v>
      </c>
      <c r="D245" t="s">
        <v>195</v>
      </c>
      <c r="E245">
        <v>3874</v>
      </c>
      <c r="F245" t="s">
        <v>211</v>
      </c>
      <c r="G245" s="1">
        <v>46074</v>
      </c>
      <c r="H245" t="s">
        <v>64</v>
      </c>
      <c r="I245" t="s">
        <v>45</v>
      </c>
      <c r="J245" t="s">
        <v>132</v>
      </c>
      <c r="K245" t="s">
        <v>185</v>
      </c>
      <c r="L245">
        <v>100242</v>
      </c>
      <c r="M245">
        <v>0</v>
      </c>
      <c r="N245">
        <v>0</v>
      </c>
      <c r="O245">
        <v>0</v>
      </c>
      <c r="P245" t="s">
        <v>99</v>
      </c>
      <c r="Q245" t="s">
        <v>224</v>
      </c>
      <c r="R245" t="s">
        <v>36</v>
      </c>
      <c r="S245" t="s">
        <v>186</v>
      </c>
      <c r="T245" s="2">
        <v>46074.358310185184</v>
      </c>
      <c r="U245" s="2">
        <v>46074.394571759258</v>
      </c>
      <c r="V245" s="3">
        <v>3.6261574074074078E-2</v>
      </c>
      <c r="W245" t="s">
        <v>49</v>
      </c>
      <c r="X245">
        <v>1</v>
      </c>
      <c r="Y245">
        <v>2</v>
      </c>
      <c r="Z245" s="3">
        <v>2.0833333333333332E-2</v>
      </c>
      <c r="AA245">
        <v>0.5</v>
      </c>
      <c r="AB245" t="s">
        <v>48</v>
      </c>
      <c r="AC245" s="3">
        <v>0.25</v>
      </c>
      <c r="AD245" t="s">
        <v>64</v>
      </c>
      <c r="AE245" t="s">
        <v>38</v>
      </c>
      <c r="AF245" t="s">
        <v>189</v>
      </c>
      <c r="AG245" t="s">
        <v>190</v>
      </c>
      <c r="AH245" t="s">
        <v>35</v>
      </c>
      <c r="AI245" t="s">
        <v>256</v>
      </c>
    </row>
    <row r="246" spans="1:35">
      <c r="A246">
        <v>23044</v>
      </c>
      <c r="B246" t="s">
        <v>274</v>
      </c>
      <c r="C246">
        <v>4175</v>
      </c>
      <c r="D246" t="s">
        <v>195</v>
      </c>
      <c r="E246">
        <v>3874</v>
      </c>
      <c r="F246" t="s">
        <v>211</v>
      </c>
      <c r="G246" s="1">
        <v>46074</v>
      </c>
      <c r="H246" t="s">
        <v>64</v>
      </c>
      <c r="I246" t="s">
        <v>45</v>
      </c>
      <c r="J246" t="s">
        <v>132</v>
      </c>
      <c r="K246" t="s">
        <v>275</v>
      </c>
      <c r="L246">
        <v>103</v>
      </c>
      <c r="M246">
        <v>0</v>
      </c>
      <c r="N246">
        <v>0</v>
      </c>
      <c r="O246">
        <v>0</v>
      </c>
      <c r="P246" t="s">
        <v>99</v>
      </c>
      <c r="Q246" t="s">
        <v>224</v>
      </c>
      <c r="R246" t="s">
        <v>36</v>
      </c>
      <c r="S246" t="s">
        <v>276</v>
      </c>
      <c r="T246" s="2">
        <v>46074.721828703703</v>
      </c>
      <c r="U246" s="2">
        <v>46074.736354166664</v>
      </c>
      <c r="V246" s="3">
        <v>1.4525462962962964E-2</v>
      </c>
      <c r="W246" t="s">
        <v>49</v>
      </c>
      <c r="X246">
        <v>1</v>
      </c>
      <c r="Y246">
        <v>1</v>
      </c>
      <c r="Z246" s="3">
        <v>4.1666666666666664E-2</v>
      </c>
      <c r="AA246">
        <v>1</v>
      </c>
      <c r="AB246" t="s">
        <v>48</v>
      </c>
      <c r="AC246" s="3">
        <v>0.29166666666666669</v>
      </c>
      <c r="AD246" t="s">
        <v>64</v>
      </c>
      <c r="AE246" t="s">
        <v>38</v>
      </c>
      <c r="AF246" t="s">
        <v>168</v>
      </c>
      <c r="AG246" t="s">
        <v>169</v>
      </c>
      <c r="AH246" t="s">
        <v>35</v>
      </c>
      <c r="AI246" t="s">
        <v>256</v>
      </c>
    </row>
    <row r="247" spans="1:35">
      <c r="A247">
        <v>23044</v>
      </c>
      <c r="B247" t="s">
        <v>274</v>
      </c>
      <c r="C247">
        <v>4175</v>
      </c>
      <c r="D247" t="s">
        <v>195</v>
      </c>
      <c r="E247">
        <v>3874</v>
      </c>
      <c r="F247" t="s">
        <v>211</v>
      </c>
      <c r="G247" s="1">
        <v>46074</v>
      </c>
      <c r="H247" t="s">
        <v>64</v>
      </c>
      <c r="I247" t="s">
        <v>45</v>
      </c>
      <c r="J247" t="s">
        <v>132</v>
      </c>
      <c r="K247" t="s">
        <v>275</v>
      </c>
      <c r="L247">
        <v>102</v>
      </c>
      <c r="M247">
        <v>0</v>
      </c>
      <c r="N247">
        <v>0</v>
      </c>
      <c r="O247">
        <v>0</v>
      </c>
      <c r="P247" t="s">
        <v>99</v>
      </c>
      <c r="Q247" t="s">
        <v>224</v>
      </c>
      <c r="R247" t="s">
        <v>36</v>
      </c>
      <c r="S247" t="s">
        <v>276</v>
      </c>
      <c r="T247" s="2">
        <v>46074.691678240742</v>
      </c>
      <c r="U247" s="2">
        <v>46074.721724537034</v>
      </c>
      <c r="V247" s="3">
        <v>3.0046296296296297E-2</v>
      </c>
      <c r="W247" t="s">
        <v>49</v>
      </c>
      <c r="X247">
        <v>1</v>
      </c>
      <c r="Y247">
        <v>1</v>
      </c>
      <c r="Z247" s="3">
        <v>4.1666666666666664E-2</v>
      </c>
      <c r="AA247">
        <v>1</v>
      </c>
      <c r="AB247" t="s">
        <v>48</v>
      </c>
      <c r="AC247" s="3">
        <v>0.29166666666666669</v>
      </c>
      <c r="AD247" t="s">
        <v>64</v>
      </c>
      <c r="AE247" t="s">
        <v>38</v>
      </c>
      <c r="AF247" t="s">
        <v>168</v>
      </c>
      <c r="AG247" t="s">
        <v>169</v>
      </c>
      <c r="AH247" t="s">
        <v>35</v>
      </c>
      <c r="AI247" t="s">
        <v>256</v>
      </c>
    </row>
    <row r="248" spans="1:35">
      <c r="A248">
        <v>23044</v>
      </c>
      <c r="B248" t="s">
        <v>274</v>
      </c>
      <c r="C248">
        <v>4175</v>
      </c>
      <c r="D248" t="s">
        <v>195</v>
      </c>
      <c r="E248">
        <v>3874</v>
      </c>
      <c r="F248" t="s">
        <v>211</v>
      </c>
      <c r="G248" s="1">
        <v>46074</v>
      </c>
      <c r="H248" t="s">
        <v>64</v>
      </c>
      <c r="I248" t="s">
        <v>45</v>
      </c>
      <c r="J248" t="s">
        <v>105</v>
      </c>
      <c r="K248" t="s">
        <v>121</v>
      </c>
      <c r="L248">
        <v>1020</v>
      </c>
      <c r="M248">
        <v>0</v>
      </c>
      <c r="N248">
        <v>0</v>
      </c>
      <c r="O248">
        <v>0</v>
      </c>
      <c r="P248" t="s">
        <v>99</v>
      </c>
      <c r="Q248" t="s">
        <v>224</v>
      </c>
      <c r="R248" t="s">
        <v>36</v>
      </c>
      <c r="S248" t="s">
        <v>122</v>
      </c>
      <c r="T248" s="2">
        <v>46074.787280092591</v>
      </c>
      <c r="U248" s="2">
        <v>46074.84002314815</v>
      </c>
      <c r="V248" s="3">
        <v>5.2743055555555557E-2</v>
      </c>
      <c r="W248" t="s">
        <v>49</v>
      </c>
      <c r="X248">
        <v>1</v>
      </c>
      <c r="Y248">
        <v>1</v>
      </c>
      <c r="Z248" s="3">
        <v>4.1666666666666664E-2</v>
      </c>
      <c r="AA248">
        <v>1</v>
      </c>
      <c r="AB248" t="s">
        <v>48</v>
      </c>
      <c r="AC248" s="3">
        <v>0.29166666666666669</v>
      </c>
      <c r="AD248" t="s">
        <v>64</v>
      </c>
      <c r="AE248" t="s">
        <v>38</v>
      </c>
      <c r="AF248" t="s">
        <v>168</v>
      </c>
      <c r="AG248" t="s">
        <v>169</v>
      </c>
      <c r="AH248" t="s">
        <v>35</v>
      </c>
      <c r="AI248" t="s">
        <v>256</v>
      </c>
    </row>
    <row r="249" spans="1:35">
      <c r="A249">
        <v>23044</v>
      </c>
      <c r="B249" t="s">
        <v>274</v>
      </c>
      <c r="C249">
        <v>4175</v>
      </c>
      <c r="D249" t="s">
        <v>195</v>
      </c>
      <c r="E249">
        <v>3874</v>
      </c>
      <c r="F249" t="s">
        <v>211</v>
      </c>
      <c r="G249" s="1">
        <v>46074</v>
      </c>
      <c r="H249" t="s">
        <v>64</v>
      </c>
      <c r="I249" t="s">
        <v>45</v>
      </c>
      <c r="J249" t="s">
        <v>132</v>
      </c>
      <c r="K249" t="s">
        <v>275</v>
      </c>
      <c r="L249">
        <v>101</v>
      </c>
      <c r="M249">
        <v>0</v>
      </c>
      <c r="N249">
        <v>0</v>
      </c>
      <c r="O249">
        <v>0</v>
      </c>
      <c r="P249" t="s">
        <v>99</v>
      </c>
      <c r="Q249" t="s">
        <v>224</v>
      </c>
      <c r="R249" t="s">
        <v>36</v>
      </c>
      <c r="S249" t="s">
        <v>276</v>
      </c>
      <c r="T249" s="2">
        <v>46074.678761574076</v>
      </c>
      <c r="U249" s="2">
        <v>46074.691550925927</v>
      </c>
      <c r="V249" s="3">
        <v>1.2789351851851852E-2</v>
      </c>
      <c r="W249" t="s">
        <v>49</v>
      </c>
      <c r="X249">
        <v>1</v>
      </c>
      <c r="Y249">
        <v>1</v>
      </c>
      <c r="Z249" s="3">
        <v>4.1666666666666664E-2</v>
      </c>
      <c r="AA249">
        <v>1</v>
      </c>
      <c r="AB249" t="s">
        <v>48</v>
      </c>
      <c r="AC249" s="3">
        <v>0.29166666666666669</v>
      </c>
      <c r="AD249" t="s">
        <v>64</v>
      </c>
      <c r="AE249" t="s">
        <v>38</v>
      </c>
      <c r="AF249" t="s">
        <v>168</v>
      </c>
      <c r="AG249" t="s">
        <v>169</v>
      </c>
      <c r="AH249" t="s">
        <v>35</v>
      </c>
      <c r="AI249" t="s">
        <v>256</v>
      </c>
    </row>
    <row r="250" spans="1:35">
      <c r="A250">
        <v>23044</v>
      </c>
      <c r="B250" t="s">
        <v>274</v>
      </c>
      <c r="C250">
        <v>4175</v>
      </c>
      <c r="D250" t="s">
        <v>195</v>
      </c>
      <c r="E250">
        <v>3874</v>
      </c>
      <c r="F250" t="s">
        <v>211</v>
      </c>
      <c r="G250" s="1">
        <v>46074</v>
      </c>
      <c r="H250" t="s">
        <v>64</v>
      </c>
      <c r="I250" t="s">
        <v>45</v>
      </c>
      <c r="J250" t="s">
        <v>132</v>
      </c>
      <c r="K250" t="s">
        <v>275</v>
      </c>
      <c r="L250">
        <v>100</v>
      </c>
      <c r="M250">
        <v>0</v>
      </c>
      <c r="N250">
        <v>0</v>
      </c>
      <c r="O250">
        <v>0</v>
      </c>
      <c r="P250" t="s">
        <v>99</v>
      </c>
      <c r="Q250" t="s">
        <v>224</v>
      </c>
      <c r="R250" t="s">
        <v>36</v>
      </c>
      <c r="S250" t="s">
        <v>276</v>
      </c>
      <c r="T250" s="2">
        <v>46074.647824074076</v>
      </c>
      <c r="U250" s="2">
        <v>46074.673981481479</v>
      </c>
      <c r="V250" s="3">
        <v>2.6157407407407407E-2</v>
      </c>
      <c r="W250" t="s">
        <v>49</v>
      </c>
      <c r="X250">
        <v>1</v>
      </c>
      <c r="Y250">
        <v>1</v>
      </c>
      <c r="Z250" s="3">
        <v>4.1666666666666664E-2</v>
      </c>
      <c r="AA250">
        <v>1</v>
      </c>
      <c r="AB250" t="s">
        <v>48</v>
      </c>
      <c r="AC250" s="3">
        <v>0.29166666666666669</v>
      </c>
      <c r="AD250" t="s">
        <v>64</v>
      </c>
      <c r="AE250" t="s">
        <v>38</v>
      </c>
      <c r="AF250" t="s">
        <v>168</v>
      </c>
      <c r="AG250" t="s">
        <v>169</v>
      </c>
      <c r="AH250" t="s">
        <v>35</v>
      </c>
      <c r="AI250" t="s">
        <v>256</v>
      </c>
    </row>
    <row r="251" spans="1:35">
      <c r="A251">
        <v>23044</v>
      </c>
      <c r="B251" t="s">
        <v>274</v>
      </c>
      <c r="C251">
        <v>4175</v>
      </c>
      <c r="D251" t="s">
        <v>195</v>
      </c>
      <c r="E251">
        <v>3874</v>
      </c>
      <c r="F251" t="s">
        <v>211</v>
      </c>
      <c r="G251" s="1">
        <v>46074</v>
      </c>
      <c r="H251" t="s">
        <v>64</v>
      </c>
      <c r="I251" t="s">
        <v>45</v>
      </c>
      <c r="J251" t="s">
        <v>90</v>
      </c>
      <c r="K251" t="s">
        <v>91</v>
      </c>
      <c r="L251">
        <v>108584</v>
      </c>
      <c r="M251">
        <v>0</v>
      </c>
      <c r="N251">
        <v>0</v>
      </c>
      <c r="O251">
        <v>0</v>
      </c>
      <c r="P251" t="s">
        <v>99</v>
      </c>
      <c r="Q251" t="s">
        <v>224</v>
      </c>
      <c r="R251" t="s">
        <v>36</v>
      </c>
      <c r="S251" t="s">
        <v>92</v>
      </c>
      <c r="T251" s="2">
        <v>46065.549583333333</v>
      </c>
      <c r="U251" s="2">
        <v>46074.678576388891</v>
      </c>
      <c r="V251" s="3">
        <v>4.0185185185185185E-2</v>
      </c>
      <c r="W251" t="s">
        <v>49</v>
      </c>
      <c r="X251">
        <v>1</v>
      </c>
      <c r="Y251">
        <v>2</v>
      </c>
      <c r="Z251" s="3">
        <v>2.0833333333333332E-2</v>
      </c>
      <c r="AA251">
        <v>0.5</v>
      </c>
      <c r="AB251" t="s">
        <v>48</v>
      </c>
      <c r="AC251" s="3">
        <v>0.29166666666666669</v>
      </c>
      <c r="AD251" t="s">
        <v>64</v>
      </c>
      <c r="AE251" t="s">
        <v>38</v>
      </c>
      <c r="AF251" t="s">
        <v>168</v>
      </c>
      <c r="AG251" t="s">
        <v>169</v>
      </c>
      <c r="AH251" t="s">
        <v>35</v>
      </c>
      <c r="AI251" t="s">
        <v>256</v>
      </c>
    </row>
    <row r="252" spans="1:35">
      <c r="A252">
        <v>23044</v>
      </c>
      <c r="B252" t="s">
        <v>274</v>
      </c>
      <c r="C252">
        <v>4175</v>
      </c>
      <c r="D252" t="s">
        <v>195</v>
      </c>
      <c r="E252">
        <v>3874</v>
      </c>
      <c r="F252" t="s">
        <v>211</v>
      </c>
      <c r="G252" s="1">
        <v>46074</v>
      </c>
      <c r="H252" t="s">
        <v>64</v>
      </c>
      <c r="I252" t="s">
        <v>45</v>
      </c>
      <c r="J252" t="s">
        <v>85</v>
      </c>
      <c r="K252" t="s">
        <v>86</v>
      </c>
      <c r="L252">
        <v>372</v>
      </c>
      <c r="M252">
        <v>0</v>
      </c>
      <c r="N252">
        <v>0</v>
      </c>
      <c r="O252">
        <v>0</v>
      </c>
      <c r="P252" t="s">
        <v>99</v>
      </c>
      <c r="Q252" t="s">
        <v>224</v>
      </c>
      <c r="R252" t="s">
        <v>36</v>
      </c>
      <c r="S252" t="s">
        <v>87</v>
      </c>
      <c r="T252" s="2">
        <v>46074.621099537035</v>
      </c>
      <c r="U252" s="2">
        <v>46074.647604166668</v>
      </c>
      <c r="V252" s="3">
        <v>2.6504629629629628E-2</v>
      </c>
      <c r="W252" t="s">
        <v>49</v>
      </c>
      <c r="X252">
        <v>1</v>
      </c>
      <c r="Y252">
        <v>2</v>
      </c>
      <c r="Z252" s="3">
        <v>2.0833333333333332E-2</v>
      </c>
      <c r="AA252">
        <v>0.5</v>
      </c>
      <c r="AB252" t="s">
        <v>48</v>
      </c>
      <c r="AC252" s="3">
        <v>0.29166666666666669</v>
      </c>
      <c r="AD252" t="s">
        <v>64</v>
      </c>
      <c r="AE252" t="s">
        <v>38</v>
      </c>
      <c r="AF252" t="s">
        <v>168</v>
      </c>
      <c r="AG252" t="s">
        <v>169</v>
      </c>
      <c r="AH252" t="s">
        <v>35</v>
      </c>
      <c r="AI252" t="s">
        <v>256</v>
      </c>
    </row>
    <row r="253" spans="1:35">
      <c r="A253">
        <v>23044</v>
      </c>
      <c r="B253" t="s">
        <v>274</v>
      </c>
      <c r="C253">
        <v>4175</v>
      </c>
      <c r="D253" t="s">
        <v>195</v>
      </c>
      <c r="E253">
        <v>3874</v>
      </c>
      <c r="F253" t="s">
        <v>211</v>
      </c>
      <c r="G253" s="1">
        <v>46074</v>
      </c>
      <c r="H253" t="s">
        <v>64</v>
      </c>
      <c r="I253" t="s">
        <v>45</v>
      </c>
      <c r="J253" t="s">
        <v>132</v>
      </c>
      <c r="K253" t="s">
        <v>275</v>
      </c>
      <c r="L253">
        <v>99</v>
      </c>
      <c r="M253">
        <v>0</v>
      </c>
      <c r="N253">
        <v>0</v>
      </c>
      <c r="O253">
        <v>0</v>
      </c>
      <c r="P253" t="s">
        <v>99</v>
      </c>
      <c r="Q253" t="s">
        <v>224</v>
      </c>
      <c r="R253" t="s">
        <v>36</v>
      </c>
      <c r="S253" t="s">
        <v>276</v>
      </c>
      <c r="T253" s="2">
        <v>46074.595810185187</v>
      </c>
      <c r="U253" s="2">
        <v>46074.620555555557</v>
      </c>
      <c r="V253" s="3">
        <v>2.4745370370370372E-2</v>
      </c>
      <c r="W253" t="s">
        <v>49</v>
      </c>
      <c r="X253">
        <v>1</v>
      </c>
      <c r="Y253">
        <v>1</v>
      </c>
      <c r="Z253" s="3">
        <v>4.1666666666666664E-2</v>
      </c>
      <c r="AA253">
        <v>1</v>
      </c>
      <c r="AB253" t="s">
        <v>48</v>
      </c>
      <c r="AC253" s="3">
        <v>0.29166666666666669</v>
      </c>
      <c r="AD253" t="s">
        <v>64</v>
      </c>
      <c r="AE253" t="s">
        <v>38</v>
      </c>
      <c r="AF253" t="s">
        <v>168</v>
      </c>
      <c r="AG253" t="s">
        <v>169</v>
      </c>
      <c r="AH253" t="s">
        <v>35</v>
      </c>
      <c r="AI253" t="s">
        <v>256</v>
      </c>
    </row>
    <row r="254" spans="1:35">
      <c r="A254">
        <v>23046</v>
      </c>
      <c r="B254" t="s">
        <v>277</v>
      </c>
      <c r="C254">
        <v>22541</v>
      </c>
      <c r="D254" t="s">
        <v>247</v>
      </c>
      <c r="E254">
        <v>3874</v>
      </c>
      <c r="F254" t="s">
        <v>211</v>
      </c>
      <c r="G254" s="1">
        <v>46074</v>
      </c>
      <c r="H254" t="s">
        <v>64</v>
      </c>
      <c r="I254" t="s">
        <v>45</v>
      </c>
      <c r="J254" t="s">
        <v>105</v>
      </c>
      <c r="K254" t="s">
        <v>142</v>
      </c>
      <c r="L254">
        <v>13242</v>
      </c>
      <c r="M254">
        <v>0</v>
      </c>
      <c r="N254">
        <v>0</v>
      </c>
      <c r="O254">
        <v>0</v>
      </c>
      <c r="P254" t="s">
        <v>99</v>
      </c>
      <c r="Q254" t="s">
        <v>223</v>
      </c>
      <c r="R254" t="s">
        <v>36</v>
      </c>
      <c r="S254" t="s">
        <v>128</v>
      </c>
      <c r="T254" s="2">
        <v>46073.534074074072</v>
      </c>
      <c r="U254" s="2">
        <v>46074.678287037037</v>
      </c>
      <c r="V254" s="3">
        <v>7.6712962962962969E-2</v>
      </c>
      <c r="W254" t="s">
        <v>49</v>
      </c>
      <c r="X254">
        <v>1</v>
      </c>
      <c r="Y254">
        <v>1.5</v>
      </c>
      <c r="Z254" s="3">
        <v>2.7777777777777776E-2</v>
      </c>
      <c r="AA254">
        <v>0.67</v>
      </c>
      <c r="AB254" t="s">
        <v>56</v>
      </c>
      <c r="AC254" s="3">
        <v>0.27902777777777776</v>
      </c>
      <c r="AD254" t="s">
        <v>64</v>
      </c>
      <c r="AE254" t="s">
        <v>38</v>
      </c>
      <c r="AF254" t="s">
        <v>39</v>
      </c>
      <c r="AG254" t="s">
        <v>40</v>
      </c>
      <c r="AH254" t="s">
        <v>35</v>
      </c>
      <c r="AI254" t="s">
        <v>256</v>
      </c>
    </row>
    <row r="255" spans="1:35">
      <c r="A255">
        <v>23046</v>
      </c>
      <c r="B255" t="s">
        <v>277</v>
      </c>
      <c r="C255">
        <v>22541</v>
      </c>
      <c r="D255" t="s">
        <v>247</v>
      </c>
      <c r="E255">
        <v>3874</v>
      </c>
      <c r="F255" t="s">
        <v>211</v>
      </c>
      <c r="G255" s="1">
        <v>46074</v>
      </c>
      <c r="H255" t="s">
        <v>64</v>
      </c>
      <c r="I255" t="s">
        <v>45</v>
      </c>
      <c r="J255" t="s">
        <v>199</v>
      </c>
      <c r="K255" t="s">
        <v>200</v>
      </c>
      <c r="L255">
        <v>124888</v>
      </c>
      <c r="M255">
        <v>0</v>
      </c>
      <c r="N255">
        <v>0</v>
      </c>
      <c r="O255">
        <v>0</v>
      </c>
      <c r="P255" t="s">
        <v>52</v>
      </c>
      <c r="Q255" t="s">
        <v>194</v>
      </c>
      <c r="R255" t="s">
        <v>36</v>
      </c>
      <c r="S255" t="s">
        <v>117</v>
      </c>
      <c r="T255" s="2">
        <v>46074.258622685185</v>
      </c>
      <c r="U255" s="2">
        <v>46074.275196759256</v>
      </c>
      <c r="V255" s="3">
        <v>1.6574074074074074E-2</v>
      </c>
      <c r="W255" t="s">
        <v>60</v>
      </c>
      <c r="X255">
        <v>22</v>
      </c>
      <c r="Y255">
        <v>60</v>
      </c>
      <c r="Z255" s="3">
        <v>1.5277777777777777E-2</v>
      </c>
      <c r="AA255">
        <v>0.37</v>
      </c>
      <c r="AB255" t="s">
        <v>56</v>
      </c>
      <c r="AC255" s="3">
        <v>0.27902777777777776</v>
      </c>
      <c r="AD255" t="s">
        <v>64</v>
      </c>
      <c r="AE255" t="s">
        <v>38</v>
      </c>
      <c r="AF255" t="s">
        <v>39</v>
      </c>
      <c r="AG255" t="s">
        <v>40</v>
      </c>
      <c r="AH255" t="s">
        <v>35</v>
      </c>
      <c r="AI255" t="s">
        <v>256</v>
      </c>
    </row>
    <row r="256" spans="1:35">
      <c r="A256">
        <v>23046</v>
      </c>
      <c r="B256" t="s">
        <v>277</v>
      </c>
      <c r="C256">
        <v>22541</v>
      </c>
      <c r="D256" t="s">
        <v>247</v>
      </c>
      <c r="E256">
        <v>3874</v>
      </c>
      <c r="F256" t="s">
        <v>211</v>
      </c>
      <c r="G256" s="1">
        <v>46074</v>
      </c>
      <c r="H256" t="s">
        <v>64</v>
      </c>
      <c r="I256" t="s">
        <v>45</v>
      </c>
      <c r="J256" t="s">
        <v>105</v>
      </c>
      <c r="K256" t="s">
        <v>142</v>
      </c>
      <c r="L256">
        <v>13245</v>
      </c>
      <c r="M256" t="s">
        <v>252</v>
      </c>
      <c r="N256">
        <v>0</v>
      </c>
      <c r="O256" t="s">
        <v>253</v>
      </c>
      <c r="P256" t="s">
        <v>52</v>
      </c>
      <c r="Q256" t="s">
        <v>194</v>
      </c>
      <c r="R256" t="s">
        <v>36</v>
      </c>
      <c r="S256" t="s">
        <v>128</v>
      </c>
      <c r="T256" s="2">
        <v>46074.753495370373</v>
      </c>
      <c r="U256" s="2">
        <v>46074.75849537037</v>
      </c>
      <c r="V256" s="3">
        <v>5.0000000000000001E-3</v>
      </c>
      <c r="W256" t="s">
        <v>60</v>
      </c>
      <c r="X256">
        <v>5</v>
      </c>
      <c r="Y256">
        <v>50</v>
      </c>
      <c r="Z256" s="3">
        <v>4.1666666666666666E-3</v>
      </c>
      <c r="AA256">
        <v>0.1</v>
      </c>
      <c r="AB256" t="s">
        <v>56</v>
      </c>
      <c r="AC256" s="3">
        <v>0.27902777777777776</v>
      </c>
      <c r="AD256" t="s">
        <v>64</v>
      </c>
      <c r="AE256" t="s">
        <v>38</v>
      </c>
      <c r="AF256" t="s">
        <v>39</v>
      </c>
      <c r="AG256" t="s">
        <v>40</v>
      </c>
      <c r="AH256" t="s">
        <v>35</v>
      </c>
      <c r="AI256" t="s">
        <v>256</v>
      </c>
    </row>
    <row r="257" spans="1:35">
      <c r="A257">
        <v>23046</v>
      </c>
      <c r="B257" t="s">
        <v>277</v>
      </c>
      <c r="C257">
        <v>22541</v>
      </c>
      <c r="D257" t="s">
        <v>247</v>
      </c>
      <c r="E257">
        <v>3874</v>
      </c>
      <c r="F257" t="s">
        <v>211</v>
      </c>
      <c r="G257" s="1">
        <v>46074</v>
      </c>
      <c r="H257" t="s">
        <v>64</v>
      </c>
      <c r="I257" t="s">
        <v>45</v>
      </c>
      <c r="J257" t="s">
        <v>105</v>
      </c>
      <c r="K257" t="s">
        <v>142</v>
      </c>
      <c r="L257">
        <v>13242</v>
      </c>
      <c r="M257">
        <v>0</v>
      </c>
      <c r="N257">
        <v>0</v>
      </c>
      <c r="O257">
        <v>0</v>
      </c>
      <c r="P257" t="s">
        <v>52</v>
      </c>
      <c r="Q257" t="s">
        <v>194</v>
      </c>
      <c r="R257" t="s">
        <v>36</v>
      </c>
      <c r="S257" t="s">
        <v>128</v>
      </c>
      <c r="T257" s="2">
        <v>46074.678356481483</v>
      </c>
      <c r="U257" s="2">
        <v>46074.687314814815</v>
      </c>
      <c r="V257" s="3">
        <v>8.9583333333333338E-3</v>
      </c>
      <c r="W257" t="s">
        <v>60</v>
      </c>
      <c r="X257">
        <v>19</v>
      </c>
      <c r="Y257">
        <v>50</v>
      </c>
      <c r="Z257" s="3">
        <v>1.5833333333333335E-2</v>
      </c>
      <c r="AA257">
        <v>0.38</v>
      </c>
      <c r="AB257" t="s">
        <v>56</v>
      </c>
      <c r="AC257" s="3">
        <v>0.27902777777777776</v>
      </c>
      <c r="AD257" t="s">
        <v>64</v>
      </c>
      <c r="AE257" t="s">
        <v>38</v>
      </c>
      <c r="AF257" t="s">
        <v>39</v>
      </c>
      <c r="AG257" t="s">
        <v>40</v>
      </c>
      <c r="AH257" t="s">
        <v>35</v>
      </c>
      <c r="AI257" t="s">
        <v>256</v>
      </c>
    </row>
    <row r="258" spans="1:35">
      <c r="A258">
        <v>23046</v>
      </c>
      <c r="B258" t="s">
        <v>277</v>
      </c>
      <c r="C258">
        <v>22541</v>
      </c>
      <c r="D258" t="s">
        <v>247</v>
      </c>
      <c r="E258">
        <v>3874</v>
      </c>
      <c r="F258" t="s">
        <v>211</v>
      </c>
      <c r="G258" s="1">
        <v>46074</v>
      </c>
      <c r="H258" t="s">
        <v>64</v>
      </c>
      <c r="I258" t="s">
        <v>45</v>
      </c>
      <c r="J258" t="s">
        <v>105</v>
      </c>
      <c r="K258" t="s">
        <v>142</v>
      </c>
      <c r="L258">
        <v>13245</v>
      </c>
      <c r="M258" t="s">
        <v>252</v>
      </c>
      <c r="N258">
        <v>0</v>
      </c>
      <c r="O258" t="s">
        <v>253</v>
      </c>
      <c r="P258" t="s">
        <v>99</v>
      </c>
      <c r="Q258" t="s">
        <v>223</v>
      </c>
      <c r="R258" t="s">
        <v>36</v>
      </c>
      <c r="S258" t="s">
        <v>128</v>
      </c>
      <c r="T258" s="2">
        <v>46074.721782407411</v>
      </c>
      <c r="U258" s="2">
        <v>46074.753344907411</v>
      </c>
      <c r="V258" s="3">
        <v>3.15625E-2</v>
      </c>
      <c r="W258" t="s">
        <v>49</v>
      </c>
      <c r="X258">
        <v>1</v>
      </c>
      <c r="Y258">
        <v>1.5</v>
      </c>
      <c r="Z258" s="3">
        <v>2.7777777777777776E-2</v>
      </c>
      <c r="AA258">
        <v>0.67</v>
      </c>
      <c r="AB258" t="s">
        <v>56</v>
      </c>
      <c r="AC258" s="3">
        <v>0.27902777777777776</v>
      </c>
      <c r="AD258" t="s">
        <v>64</v>
      </c>
      <c r="AE258" t="s">
        <v>38</v>
      </c>
      <c r="AF258" t="s">
        <v>39</v>
      </c>
      <c r="AG258" t="s">
        <v>40</v>
      </c>
      <c r="AH258" t="s">
        <v>35</v>
      </c>
      <c r="AI258" t="s">
        <v>256</v>
      </c>
    </row>
    <row r="259" spans="1:35">
      <c r="A259">
        <v>23046</v>
      </c>
      <c r="B259" t="s">
        <v>277</v>
      </c>
      <c r="C259">
        <v>22541</v>
      </c>
      <c r="D259" t="s">
        <v>247</v>
      </c>
      <c r="E259">
        <v>3874</v>
      </c>
      <c r="F259" t="s">
        <v>211</v>
      </c>
      <c r="G259" s="1">
        <v>46074</v>
      </c>
      <c r="H259" t="s">
        <v>64</v>
      </c>
      <c r="I259" t="s">
        <v>45</v>
      </c>
      <c r="J259" t="s">
        <v>234</v>
      </c>
      <c r="K259" t="s">
        <v>235</v>
      </c>
      <c r="L259">
        <v>19962</v>
      </c>
      <c r="M259">
        <v>0</v>
      </c>
      <c r="N259">
        <v>0</v>
      </c>
      <c r="O259">
        <v>0</v>
      </c>
      <c r="P259" t="s">
        <v>99</v>
      </c>
      <c r="Q259" t="s">
        <v>223</v>
      </c>
      <c r="R259" t="s">
        <v>36</v>
      </c>
      <c r="S259" t="s">
        <v>117</v>
      </c>
      <c r="T259" s="2">
        <v>46074.374537037038</v>
      </c>
      <c r="U259" s="2">
        <v>46074.635289351849</v>
      </c>
      <c r="V259" s="3">
        <v>4.9826388888888885E-2</v>
      </c>
      <c r="W259" t="s">
        <v>49</v>
      </c>
      <c r="X259">
        <v>1</v>
      </c>
      <c r="Y259">
        <v>1</v>
      </c>
      <c r="Z259" s="3">
        <v>4.1666666666666664E-2</v>
      </c>
      <c r="AA259">
        <v>1</v>
      </c>
      <c r="AB259" t="s">
        <v>56</v>
      </c>
      <c r="AC259" s="3">
        <v>0.27902777777777776</v>
      </c>
      <c r="AD259" t="s">
        <v>64</v>
      </c>
      <c r="AE259" t="s">
        <v>38</v>
      </c>
      <c r="AF259" t="s">
        <v>39</v>
      </c>
      <c r="AG259" t="s">
        <v>40</v>
      </c>
      <c r="AH259" t="s">
        <v>35</v>
      </c>
      <c r="AI259" t="s">
        <v>256</v>
      </c>
    </row>
    <row r="260" spans="1:35">
      <c r="A260">
        <v>23046</v>
      </c>
      <c r="B260" t="s">
        <v>277</v>
      </c>
      <c r="C260">
        <v>22541</v>
      </c>
      <c r="D260" t="s">
        <v>247</v>
      </c>
      <c r="E260">
        <v>3874</v>
      </c>
      <c r="F260" t="s">
        <v>211</v>
      </c>
      <c r="G260" s="1">
        <v>46074</v>
      </c>
      <c r="H260" t="s">
        <v>64</v>
      </c>
      <c r="I260" t="s">
        <v>45</v>
      </c>
      <c r="J260" t="s">
        <v>234</v>
      </c>
      <c r="K260" t="s">
        <v>235</v>
      </c>
      <c r="L260">
        <v>19962</v>
      </c>
      <c r="M260">
        <v>0</v>
      </c>
      <c r="N260">
        <v>0</v>
      </c>
      <c r="O260">
        <v>0</v>
      </c>
      <c r="P260" t="s">
        <v>52</v>
      </c>
      <c r="Q260" t="s">
        <v>194</v>
      </c>
      <c r="R260" t="s">
        <v>36</v>
      </c>
      <c r="S260" t="s">
        <v>117</v>
      </c>
      <c r="T260" s="2">
        <v>46074.715578703705</v>
      </c>
      <c r="U260" s="2">
        <v>46074.721724537034</v>
      </c>
      <c r="V260" s="3">
        <v>6.145833333333333E-3</v>
      </c>
      <c r="W260" t="s">
        <v>60</v>
      </c>
      <c r="X260">
        <v>17</v>
      </c>
      <c r="Y260">
        <v>60</v>
      </c>
      <c r="Z260" s="3">
        <v>1.1805555555555555E-2</v>
      </c>
      <c r="AA260">
        <v>0.28000000000000003</v>
      </c>
      <c r="AB260" t="s">
        <v>56</v>
      </c>
      <c r="AC260" s="3">
        <v>0.27902777777777776</v>
      </c>
      <c r="AD260" t="s">
        <v>64</v>
      </c>
      <c r="AE260" t="s">
        <v>38</v>
      </c>
      <c r="AF260" t="s">
        <v>39</v>
      </c>
      <c r="AG260" t="s">
        <v>40</v>
      </c>
      <c r="AH260" t="s">
        <v>35</v>
      </c>
      <c r="AI260" t="s">
        <v>256</v>
      </c>
    </row>
    <row r="261" spans="1:35">
      <c r="A261">
        <v>23046</v>
      </c>
      <c r="B261" t="s">
        <v>277</v>
      </c>
      <c r="C261">
        <v>22541</v>
      </c>
      <c r="D261" t="s">
        <v>247</v>
      </c>
      <c r="E261">
        <v>3874</v>
      </c>
      <c r="F261" t="s">
        <v>211</v>
      </c>
      <c r="G261" s="1">
        <v>46074</v>
      </c>
      <c r="H261" t="s">
        <v>64</v>
      </c>
      <c r="I261" t="s">
        <v>45</v>
      </c>
      <c r="J261" t="s">
        <v>115</v>
      </c>
      <c r="K261" t="s">
        <v>116</v>
      </c>
      <c r="L261">
        <v>101126</v>
      </c>
      <c r="M261">
        <v>0</v>
      </c>
      <c r="N261">
        <v>0</v>
      </c>
      <c r="O261">
        <v>0</v>
      </c>
      <c r="P261" t="s">
        <v>52</v>
      </c>
      <c r="Q261" t="s">
        <v>194</v>
      </c>
      <c r="R261" t="s">
        <v>36</v>
      </c>
      <c r="S261" t="s">
        <v>117</v>
      </c>
      <c r="T261" s="2">
        <v>46074.655011574076</v>
      </c>
      <c r="U261" s="2">
        <v>46074.6715625</v>
      </c>
      <c r="V261" s="3">
        <v>1.6550925925925924E-2</v>
      </c>
      <c r="W261" t="s">
        <v>60</v>
      </c>
      <c r="X261">
        <v>28</v>
      </c>
      <c r="Y261">
        <v>60</v>
      </c>
      <c r="Z261" s="3">
        <v>1.9444444444444445E-2</v>
      </c>
      <c r="AA261">
        <v>0.47</v>
      </c>
      <c r="AB261" t="s">
        <v>56</v>
      </c>
      <c r="AC261" s="3">
        <v>0.27902777777777776</v>
      </c>
      <c r="AD261" t="s">
        <v>64</v>
      </c>
      <c r="AE261" t="s">
        <v>38</v>
      </c>
      <c r="AF261" t="s">
        <v>39</v>
      </c>
      <c r="AG261" t="s">
        <v>40</v>
      </c>
      <c r="AH261" t="s">
        <v>35</v>
      </c>
      <c r="AI261" t="s">
        <v>256</v>
      </c>
    </row>
    <row r="262" spans="1:35">
      <c r="A262">
        <v>23046</v>
      </c>
      <c r="B262" t="s">
        <v>277</v>
      </c>
      <c r="C262">
        <v>22541</v>
      </c>
      <c r="D262" t="s">
        <v>247</v>
      </c>
      <c r="E262">
        <v>3874</v>
      </c>
      <c r="F262" t="s">
        <v>211</v>
      </c>
      <c r="G262" s="1">
        <v>46074</v>
      </c>
      <c r="H262" t="s">
        <v>64</v>
      </c>
      <c r="I262" t="s">
        <v>45</v>
      </c>
      <c r="J262" t="s">
        <v>234</v>
      </c>
      <c r="K262" t="s">
        <v>235</v>
      </c>
      <c r="L262">
        <v>19961</v>
      </c>
      <c r="M262">
        <v>0</v>
      </c>
      <c r="N262">
        <v>0</v>
      </c>
      <c r="O262">
        <v>0</v>
      </c>
      <c r="P262" t="s">
        <v>52</v>
      </c>
      <c r="Q262" t="s">
        <v>194</v>
      </c>
      <c r="R262" t="s">
        <v>36</v>
      </c>
      <c r="S262" t="s">
        <v>117</v>
      </c>
      <c r="T262" s="2">
        <v>46074.687476851854</v>
      </c>
      <c r="U262" s="2">
        <v>46074.715439814812</v>
      </c>
      <c r="V262" s="3">
        <v>2.7962962962962964E-2</v>
      </c>
      <c r="W262" t="s">
        <v>60</v>
      </c>
      <c r="X262">
        <v>21</v>
      </c>
      <c r="Y262">
        <v>60</v>
      </c>
      <c r="Z262" s="3">
        <v>1.4583333333333332E-2</v>
      </c>
      <c r="AA262">
        <v>0.35</v>
      </c>
      <c r="AB262" t="s">
        <v>56</v>
      </c>
      <c r="AC262" s="3">
        <v>0.27902777777777776</v>
      </c>
      <c r="AD262" t="s">
        <v>64</v>
      </c>
      <c r="AE262" t="s">
        <v>38</v>
      </c>
      <c r="AF262" t="s">
        <v>39</v>
      </c>
      <c r="AG262" t="s">
        <v>40</v>
      </c>
      <c r="AH262" t="s">
        <v>35</v>
      </c>
      <c r="AI262" t="s">
        <v>256</v>
      </c>
    </row>
    <row r="263" spans="1:35">
      <c r="A263">
        <v>23046</v>
      </c>
      <c r="B263" t="s">
        <v>277</v>
      </c>
      <c r="C263">
        <v>22541</v>
      </c>
      <c r="D263" t="s">
        <v>247</v>
      </c>
      <c r="E263">
        <v>3874</v>
      </c>
      <c r="F263" t="s">
        <v>211</v>
      </c>
      <c r="G263" s="1">
        <v>46074</v>
      </c>
      <c r="H263" t="s">
        <v>64</v>
      </c>
      <c r="I263" t="s">
        <v>45</v>
      </c>
      <c r="J263" t="s">
        <v>115</v>
      </c>
      <c r="K263" t="s">
        <v>116</v>
      </c>
      <c r="L263">
        <v>101127</v>
      </c>
      <c r="M263">
        <v>0</v>
      </c>
      <c r="N263">
        <v>0</v>
      </c>
      <c r="O263">
        <v>0</v>
      </c>
      <c r="P263" t="s">
        <v>52</v>
      </c>
      <c r="Q263" t="s">
        <v>194</v>
      </c>
      <c r="R263" t="s">
        <v>36</v>
      </c>
      <c r="S263" t="s">
        <v>117</v>
      </c>
      <c r="T263" s="2">
        <v>46073.761018518519</v>
      </c>
      <c r="U263" s="2">
        <v>46074.654930555553</v>
      </c>
      <c r="V263" s="3">
        <v>1.9733796296296298E-2</v>
      </c>
      <c r="W263" t="s">
        <v>60</v>
      </c>
      <c r="X263">
        <v>25</v>
      </c>
      <c r="Y263">
        <v>60</v>
      </c>
      <c r="Z263" s="3">
        <v>1.7361111111111112E-2</v>
      </c>
      <c r="AA263">
        <v>0.42</v>
      </c>
      <c r="AB263" t="s">
        <v>56</v>
      </c>
      <c r="AC263" s="3">
        <v>0.27902777777777776</v>
      </c>
      <c r="AD263" t="s">
        <v>64</v>
      </c>
      <c r="AE263" t="s">
        <v>38</v>
      </c>
      <c r="AF263" t="s">
        <v>39</v>
      </c>
      <c r="AG263" t="s">
        <v>40</v>
      </c>
      <c r="AH263" t="s">
        <v>35</v>
      </c>
      <c r="AI263" t="s">
        <v>256</v>
      </c>
    </row>
    <row r="264" spans="1:35">
      <c r="A264">
        <v>23046</v>
      </c>
      <c r="B264" t="s">
        <v>277</v>
      </c>
      <c r="C264">
        <v>22541</v>
      </c>
      <c r="D264" t="s">
        <v>247</v>
      </c>
      <c r="E264">
        <v>3874</v>
      </c>
      <c r="F264" t="s">
        <v>211</v>
      </c>
      <c r="G264" s="1">
        <v>46074</v>
      </c>
      <c r="H264" t="s">
        <v>64</v>
      </c>
      <c r="I264" t="s">
        <v>45</v>
      </c>
      <c r="J264" t="s">
        <v>115</v>
      </c>
      <c r="K264" t="s">
        <v>116</v>
      </c>
      <c r="L264">
        <v>101126</v>
      </c>
      <c r="M264">
        <v>0</v>
      </c>
      <c r="N264">
        <v>0</v>
      </c>
      <c r="O264">
        <v>0</v>
      </c>
      <c r="P264" t="s">
        <v>99</v>
      </c>
      <c r="Q264" t="s">
        <v>224</v>
      </c>
      <c r="R264" t="s">
        <v>36</v>
      </c>
      <c r="S264" t="s">
        <v>117</v>
      </c>
      <c r="T264" s="2">
        <v>46074.275497685187</v>
      </c>
      <c r="U264" s="2">
        <v>46074.313715277778</v>
      </c>
      <c r="V264" s="3">
        <v>3.8217592592592588E-2</v>
      </c>
      <c r="W264" t="s">
        <v>49</v>
      </c>
      <c r="X264">
        <v>1</v>
      </c>
      <c r="Y264">
        <v>1</v>
      </c>
      <c r="Z264" s="3">
        <v>4.1666666666666664E-2</v>
      </c>
      <c r="AA264">
        <v>1</v>
      </c>
      <c r="AB264" t="s">
        <v>56</v>
      </c>
      <c r="AC264" s="3">
        <v>0.27902777777777776</v>
      </c>
      <c r="AD264" t="s">
        <v>64</v>
      </c>
      <c r="AE264" t="s">
        <v>38</v>
      </c>
      <c r="AF264" t="s">
        <v>39</v>
      </c>
      <c r="AG264" t="s">
        <v>40</v>
      </c>
      <c r="AH264" t="s">
        <v>35</v>
      </c>
      <c r="AI264" t="s">
        <v>256</v>
      </c>
    </row>
    <row r="265" spans="1:35">
      <c r="A265">
        <v>23046</v>
      </c>
      <c r="B265" t="s">
        <v>277</v>
      </c>
      <c r="C265">
        <v>22541</v>
      </c>
      <c r="D265" t="s">
        <v>247</v>
      </c>
      <c r="E265">
        <v>3874</v>
      </c>
      <c r="F265" t="s">
        <v>211</v>
      </c>
      <c r="G265" s="1">
        <v>46074</v>
      </c>
      <c r="H265" t="s">
        <v>64</v>
      </c>
      <c r="I265" t="s">
        <v>45</v>
      </c>
      <c r="J265" t="s">
        <v>234</v>
      </c>
      <c r="K265" t="s">
        <v>235</v>
      </c>
      <c r="L265">
        <v>19961</v>
      </c>
      <c r="M265">
        <v>0</v>
      </c>
      <c r="N265">
        <v>0</v>
      </c>
      <c r="O265">
        <v>0</v>
      </c>
      <c r="P265" t="s">
        <v>99</v>
      </c>
      <c r="Q265" t="s">
        <v>223</v>
      </c>
      <c r="R265" t="s">
        <v>36</v>
      </c>
      <c r="S265" t="s">
        <v>117</v>
      </c>
      <c r="T265" s="2">
        <v>46074.31386574074</v>
      </c>
      <c r="U265" s="2">
        <v>46074.374328703707</v>
      </c>
      <c r="V265" s="3">
        <v>6.0462962962962961E-2</v>
      </c>
      <c r="W265" t="s">
        <v>49</v>
      </c>
      <c r="X265">
        <v>1</v>
      </c>
      <c r="Y265">
        <v>1</v>
      </c>
      <c r="Z265" s="3">
        <v>4.1666666666666664E-2</v>
      </c>
      <c r="AA265">
        <v>1</v>
      </c>
      <c r="AB265" t="s">
        <v>56</v>
      </c>
      <c r="AC265" s="3">
        <v>0.27902777777777776</v>
      </c>
      <c r="AD265" t="s">
        <v>64</v>
      </c>
      <c r="AE265" t="s">
        <v>38</v>
      </c>
      <c r="AF265" t="s">
        <v>39</v>
      </c>
      <c r="AG265" t="s">
        <v>40</v>
      </c>
      <c r="AH265" t="s">
        <v>35</v>
      </c>
      <c r="AI265" t="s">
        <v>256</v>
      </c>
    </row>
    <row r="266" spans="1:35">
      <c r="A266">
        <v>23047</v>
      </c>
      <c r="B266" t="s">
        <v>278</v>
      </c>
      <c r="C266">
        <v>22541</v>
      </c>
      <c r="D266" t="s">
        <v>247</v>
      </c>
      <c r="E266">
        <v>3874</v>
      </c>
      <c r="F266" t="s">
        <v>211</v>
      </c>
      <c r="G266" s="1">
        <v>46074</v>
      </c>
      <c r="H266" t="s">
        <v>64</v>
      </c>
      <c r="I266" t="s">
        <v>45</v>
      </c>
      <c r="J266" t="s">
        <v>126</v>
      </c>
      <c r="K266" t="s">
        <v>127</v>
      </c>
      <c r="L266">
        <v>62367</v>
      </c>
      <c r="M266">
        <v>0</v>
      </c>
      <c r="N266">
        <v>0</v>
      </c>
      <c r="O266">
        <v>0</v>
      </c>
      <c r="P266" t="s">
        <v>99</v>
      </c>
      <c r="Q266" t="s">
        <v>223</v>
      </c>
      <c r="R266" t="s">
        <v>43</v>
      </c>
      <c r="S266" t="s">
        <v>128</v>
      </c>
      <c r="T266" s="2">
        <v>46073.576157407406</v>
      </c>
      <c r="U266" s="2">
        <v>46073.579791666663</v>
      </c>
      <c r="V266" s="3">
        <f>Z266</f>
        <v>2.3263888888888887E-3</v>
      </c>
      <c r="W266" t="s">
        <v>49</v>
      </c>
      <c r="X266">
        <v>1</v>
      </c>
      <c r="Y266">
        <v>1.5</v>
      </c>
      <c r="Z266" s="3">
        <v>2.3263888888888887E-3</v>
      </c>
      <c r="AA266">
        <v>0.67</v>
      </c>
      <c r="AB266" t="s">
        <v>56</v>
      </c>
      <c r="AC266" s="3">
        <v>2.3263888888888887E-3</v>
      </c>
      <c r="AD266" t="s">
        <v>64</v>
      </c>
      <c r="AE266" t="s">
        <v>38</v>
      </c>
      <c r="AF266" t="s">
        <v>168</v>
      </c>
      <c r="AG266" t="s">
        <v>169</v>
      </c>
      <c r="AH266" t="s">
        <v>35</v>
      </c>
      <c r="AI266" t="s">
        <v>256</v>
      </c>
    </row>
    <row r="267" spans="1:35">
      <c r="A267">
        <v>23149</v>
      </c>
      <c r="B267" t="s">
        <v>295</v>
      </c>
      <c r="C267">
        <v>17397</v>
      </c>
      <c r="D267" t="s">
        <v>246</v>
      </c>
      <c r="F267" t="s">
        <v>35</v>
      </c>
      <c r="G267" s="1">
        <v>46074</v>
      </c>
      <c r="H267" t="s">
        <v>64</v>
      </c>
      <c r="I267" t="s">
        <v>45</v>
      </c>
      <c r="J267" t="s">
        <v>132</v>
      </c>
      <c r="K267" t="s">
        <v>188</v>
      </c>
      <c r="L267">
        <v>100251</v>
      </c>
      <c r="M267">
        <v>0</v>
      </c>
      <c r="N267">
        <v>0</v>
      </c>
      <c r="O267">
        <v>0</v>
      </c>
      <c r="P267" t="s">
        <v>99</v>
      </c>
      <c r="Q267" t="s">
        <v>224</v>
      </c>
      <c r="R267" t="s">
        <v>36</v>
      </c>
      <c r="S267" t="s">
        <v>186</v>
      </c>
      <c r="T267" s="2">
        <v>46074.506284722222</v>
      </c>
      <c r="U267" s="2">
        <v>46074.513449074075</v>
      </c>
      <c r="V267" s="3">
        <v>7.1643518518518514E-3</v>
      </c>
      <c r="W267" t="s">
        <v>49</v>
      </c>
      <c r="X267">
        <v>1</v>
      </c>
      <c r="Y267">
        <v>2</v>
      </c>
      <c r="Z267" s="3">
        <v>2.0833333333333332E-2</v>
      </c>
      <c r="AA267">
        <v>0.5</v>
      </c>
      <c r="AB267" t="s">
        <v>48</v>
      </c>
      <c r="AC267" s="3">
        <v>8.3333333333333329E-2</v>
      </c>
      <c r="AD267" t="s">
        <v>64</v>
      </c>
      <c r="AE267" t="s">
        <v>38</v>
      </c>
      <c r="AF267" t="s">
        <v>50</v>
      </c>
      <c r="AG267" t="s">
        <v>51</v>
      </c>
      <c r="AH267" t="s">
        <v>35</v>
      </c>
      <c r="AI267" t="s">
        <v>44</v>
      </c>
    </row>
    <row r="268" spans="1:35">
      <c r="A268">
        <v>23149</v>
      </c>
      <c r="B268" t="s">
        <v>295</v>
      </c>
      <c r="C268">
        <v>17397</v>
      </c>
      <c r="D268" t="s">
        <v>246</v>
      </c>
      <c r="F268" t="s">
        <v>35</v>
      </c>
      <c r="G268" s="1">
        <v>46074</v>
      </c>
      <c r="H268" t="s">
        <v>64</v>
      </c>
      <c r="I268" t="s">
        <v>45</v>
      </c>
      <c r="J268" t="s">
        <v>82</v>
      </c>
      <c r="K268" t="s">
        <v>108</v>
      </c>
      <c r="L268">
        <v>57741</v>
      </c>
      <c r="M268">
        <v>0</v>
      </c>
      <c r="N268">
        <v>0</v>
      </c>
      <c r="O268">
        <v>0</v>
      </c>
      <c r="P268" t="s">
        <v>99</v>
      </c>
      <c r="Q268" t="s">
        <v>224</v>
      </c>
      <c r="R268" t="s">
        <v>36</v>
      </c>
      <c r="S268" t="s">
        <v>109</v>
      </c>
      <c r="T268" s="2">
        <v>46074.463414351849</v>
      </c>
      <c r="U268" s="2">
        <v>46074.506076388891</v>
      </c>
      <c r="V268" s="3">
        <v>4.2662037037037033E-2</v>
      </c>
      <c r="W268" t="s">
        <v>49</v>
      </c>
      <c r="X268">
        <v>1</v>
      </c>
      <c r="Y268">
        <v>2</v>
      </c>
      <c r="Z268" s="3">
        <v>2.0833333333333332E-2</v>
      </c>
      <c r="AA268">
        <v>0.5</v>
      </c>
      <c r="AB268" t="s">
        <v>48</v>
      </c>
      <c r="AC268" s="3">
        <v>8.3333333333333329E-2</v>
      </c>
      <c r="AD268" t="s">
        <v>64</v>
      </c>
      <c r="AE268" t="s">
        <v>38</v>
      </c>
      <c r="AF268" t="s">
        <v>50</v>
      </c>
      <c r="AG268" t="s">
        <v>51</v>
      </c>
      <c r="AH268" t="s">
        <v>35</v>
      </c>
      <c r="AI268" t="s">
        <v>44</v>
      </c>
    </row>
    <row r="269" spans="1:35">
      <c r="A269">
        <v>23149</v>
      </c>
      <c r="B269" t="s">
        <v>295</v>
      </c>
      <c r="C269">
        <v>17397</v>
      </c>
      <c r="D269" t="s">
        <v>246</v>
      </c>
      <c r="F269" t="s">
        <v>35</v>
      </c>
      <c r="G269" s="1">
        <v>46074</v>
      </c>
      <c r="H269" t="s">
        <v>64</v>
      </c>
      <c r="I269" t="s">
        <v>45</v>
      </c>
      <c r="J269" t="s">
        <v>132</v>
      </c>
      <c r="K269" t="s">
        <v>185</v>
      </c>
      <c r="L269">
        <v>100239</v>
      </c>
      <c r="M269">
        <v>0</v>
      </c>
      <c r="N269">
        <v>0</v>
      </c>
      <c r="O269">
        <v>0</v>
      </c>
      <c r="P269" t="s">
        <v>99</v>
      </c>
      <c r="Q269" t="s">
        <v>224</v>
      </c>
      <c r="R269" t="s">
        <v>36</v>
      </c>
      <c r="S269" t="s">
        <v>186</v>
      </c>
      <c r="T269" s="2">
        <v>46074.377187500002</v>
      </c>
      <c r="U269" s="2">
        <v>46074.398981481485</v>
      </c>
      <c r="V269" s="3">
        <v>2.179398148148148E-2</v>
      </c>
      <c r="W269" t="s">
        <v>49</v>
      </c>
      <c r="X269">
        <v>1</v>
      </c>
      <c r="Y269">
        <v>2</v>
      </c>
      <c r="Z269" s="3">
        <v>2.0833333333333332E-2</v>
      </c>
      <c r="AA269">
        <v>0.5</v>
      </c>
      <c r="AB269" t="s">
        <v>48</v>
      </c>
      <c r="AC269" s="3">
        <v>8.3333333333333329E-2</v>
      </c>
      <c r="AD269" t="s">
        <v>64</v>
      </c>
      <c r="AE269" t="s">
        <v>38</v>
      </c>
      <c r="AF269" t="s">
        <v>50</v>
      </c>
      <c r="AG269" t="s">
        <v>51</v>
      </c>
      <c r="AH269" t="s">
        <v>35</v>
      </c>
      <c r="AI269" t="s">
        <v>44</v>
      </c>
    </row>
    <row r="270" spans="1:35">
      <c r="A270">
        <v>23149</v>
      </c>
      <c r="B270" t="s">
        <v>295</v>
      </c>
      <c r="C270">
        <v>17397</v>
      </c>
      <c r="D270" t="s">
        <v>246</v>
      </c>
      <c r="F270" t="s">
        <v>35</v>
      </c>
      <c r="G270" s="1">
        <v>46074</v>
      </c>
      <c r="H270" t="s">
        <v>64</v>
      </c>
      <c r="I270" t="s">
        <v>45</v>
      </c>
      <c r="J270" t="s">
        <v>132</v>
      </c>
      <c r="K270" t="s">
        <v>185</v>
      </c>
      <c r="L270">
        <v>100240</v>
      </c>
      <c r="M270">
        <v>0</v>
      </c>
      <c r="N270">
        <v>0</v>
      </c>
      <c r="O270">
        <v>0</v>
      </c>
      <c r="P270" t="s">
        <v>99</v>
      </c>
      <c r="Q270" t="s">
        <v>224</v>
      </c>
      <c r="R270" t="s">
        <v>36</v>
      </c>
      <c r="S270" t="s">
        <v>186</v>
      </c>
      <c r="T270" s="2">
        <v>46074.399317129632</v>
      </c>
      <c r="U270" s="2">
        <v>46074.448055555556</v>
      </c>
      <c r="V270" s="3">
        <v>4.8738425925925921E-2</v>
      </c>
      <c r="W270" t="s">
        <v>49</v>
      </c>
      <c r="X270">
        <v>1</v>
      </c>
      <c r="Y270">
        <v>2</v>
      </c>
      <c r="Z270" s="3">
        <v>2.0833333333333332E-2</v>
      </c>
      <c r="AA270">
        <v>0.5</v>
      </c>
      <c r="AB270" t="s">
        <v>48</v>
      </c>
      <c r="AC270" s="3">
        <v>8.3333333333333329E-2</v>
      </c>
      <c r="AD270" t="s">
        <v>64</v>
      </c>
      <c r="AE270" t="s">
        <v>38</v>
      </c>
      <c r="AF270" t="s">
        <v>50</v>
      </c>
      <c r="AG270" t="s">
        <v>51</v>
      </c>
      <c r="AH270" t="s">
        <v>35</v>
      </c>
      <c r="AI270" t="s">
        <v>44</v>
      </c>
    </row>
    <row r="271" spans="1:35">
      <c r="A271">
        <v>7634</v>
      </c>
      <c r="B271" t="s">
        <v>296</v>
      </c>
      <c r="C271">
        <v>3874</v>
      </c>
      <c r="D271" t="s">
        <v>211</v>
      </c>
      <c r="E271">
        <v>3874</v>
      </c>
      <c r="F271" t="s">
        <v>211</v>
      </c>
      <c r="G271" s="1">
        <v>46074</v>
      </c>
      <c r="H271" t="s">
        <v>64</v>
      </c>
      <c r="I271" t="s">
        <v>45</v>
      </c>
      <c r="J271" t="s">
        <v>105</v>
      </c>
      <c r="K271" t="s">
        <v>280</v>
      </c>
      <c r="L271">
        <v>4439</v>
      </c>
      <c r="M271">
        <v>0</v>
      </c>
      <c r="N271">
        <v>0</v>
      </c>
      <c r="O271">
        <v>0</v>
      </c>
      <c r="P271" t="s">
        <v>52</v>
      </c>
      <c r="Q271" t="s">
        <v>141</v>
      </c>
      <c r="R271" t="s">
        <v>36</v>
      </c>
      <c r="S271" t="s">
        <v>281</v>
      </c>
      <c r="T271" s="2">
        <v>46074.331145833334</v>
      </c>
      <c r="U271" s="2">
        <v>46074.332071759258</v>
      </c>
      <c r="V271" s="3">
        <v>9.2592592592592585E-4</v>
      </c>
      <c r="W271" t="s">
        <v>49</v>
      </c>
      <c r="X271">
        <v>1</v>
      </c>
      <c r="Y271">
        <v>60</v>
      </c>
      <c r="Z271" s="3">
        <v>6.9444444444444447E-4</v>
      </c>
      <c r="AA271">
        <v>0.02</v>
      </c>
      <c r="AB271" t="s">
        <v>48</v>
      </c>
      <c r="AC271" s="3">
        <v>5.5312499999999994E-2</v>
      </c>
      <c r="AD271" t="s">
        <v>64</v>
      </c>
      <c r="AE271" t="s">
        <v>38</v>
      </c>
      <c r="AF271" t="s">
        <v>57</v>
      </c>
      <c r="AG271" t="s">
        <v>58</v>
      </c>
      <c r="AH271" t="s">
        <v>35</v>
      </c>
      <c r="AI271" t="s">
        <v>41</v>
      </c>
    </row>
    <row r="272" spans="1:35">
      <c r="A272">
        <v>7634</v>
      </c>
      <c r="B272" t="s">
        <v>296</v>
      </c>
      <c r="C272">
        <v>3874</v>
      </c>
      <c r="D272" t="s">
        <v>211</v>
      </c>
      <c r="E272">
        <v>3874</v>
      </c>
      <c r="F272" t="s">
        <v>211</v>
      </c>
      <c r="G272" s="1">
        <v>46074</v>
      </c>
      <c r="H272" t="s">
        <v>64</v>
      </c>
      <c r="I272" t="s">
        <v>45</v>
      </c>
      <c r="J272" t="s">
        <v>146</v>
      </c>
      <c r="K272" t="s">
        <v>222</v>
      </c>
      <c r="L272">
        <v>100828</v>
      </c>
      <c r="M272">
        <v>0</v>
      </c>
      <c r="N272">
        <v>0</v>
      </c>
      <c r="O272">
        <v>0</v>
      </c>
      <c r="P272" t="s">
        <v>52</v>
      </c>
      <c r="Q272" t="s">
        <v>63</v>
      </c>
      <c r="R272" t="s">
        <v>36</v>
      </c>
      <c r="S272" t="s">
        <v>97</v>
      </c>
      <c r="T272" s="2">
        <v>46074.548703703702</v>
      </c>
      <c r="U272" s="2">
        <v>46074.602569444447</v>
      </c>
      <c r="V272" s="3">
        <v>5.138888888888889E-3</v>
      </c>
      <c r="W272" t="s">
        <v>49</v>
      </c>
      <c r="X272">
        <v>1</v>
      </c>
      <c r="Y272">
        <v>12</v>
      </c>
      <c r="Z272" s="3">
        <v>3.472222222222222E-3</v>
      </c>
      <c r="AA272">
        <v>0.08</v>
      </c>
      <c r="AB272" t="s">
        <v>48</v>
      </c>
      <c r="AC272" s="3">
        <v>5.5312499999999994E-2</v>
      </c>
      <c r="AD272" t="s">
        <v>64</v>
      </c>
      <c r="AE272" t="s">
        <v>38</v>
      </c>
      <c r="AF272" t="s">
        <v>57</v>
      </c>
      <c r="AG272" t="s">
        <v>58</v>
      </c>
      <c r="AH272" t="s">
        <v>35</v>
      </c>
      <c r="AI272" t="s">
        <v>41</v>
      </c>
    </row>
    <row r="273" spans="1:35">
      <c r="A273">
        <v>7634</v>
      </c>
      <c r="B273" t="s">
        <v>296</v>
      </c>
      <c r="C273">
        <v>3874</v>
      </c>
      <c r="D273" t="s">
        <v>211</v>
      </c>
      <c r="E273">
        <v>3874</v>
      </c>
      <c r="F273" t="s">
        <v>211</v>
      </c>
      <c r="G273" s="1">
        <v>46074</v>
      </c>
      <c r="H273" t="s">
        <v>64</v>
      </c>
      <c r="I273" t="s">
        <v>45</v>
      </c>
      <c r="J273" t="s">
        <v>158</v>
      </c>
      <c r="K273" t="s">
        <v>212</v>
      </c>
      <c r="L273">
        <v>830</v>
      </c>
      <c r="M273">
        <v>0</v>
      </c>
      <c r="N273">
        <v>0</v>
      </c>
      <c r="O273">
        <v>0</v>
      </c>
      <c r="P273" t="s">
        <v>52</v>
      </c>
      <c r="Q273" t="s">
        <v>63</v>
      </c>
      <c r="R273" t="s">
        <v>36</v>
      </c>
      <c r="S273" t="s">
        <v>87</v>
      </c>
      <c r="T273" s="2">
        <v>46074.51934027778</v>
      </c>
      <c r="U273" s="2">
        <v>46074.527870370373</v>
      </c>
      <c r="V273" s="3">
        <v>6.0069444444444441E-3</v>
      </c>
      <c r="W273" t="s">
        <v>49</v>
      </c>
      <c r="X273">
        <v>1</v>
      </c>
      <c r="Y273">
        <v>12</v>
      </c>
      <c r="Z273" s="3">
        <v>3.472222222222222E-3</v>
      </c>
      <c r="AA273">
        <v>0.08</v>
      </c>
      <c r="AB273" t="s">
        <v>48</v>
      </c>
      <c r="AC273" s="3">
        <v>5.5312499999999994E-2</v>
      </c>
      <c r="AD273" t="s">
        <v>64</v>
      </c>
      <c r="AE273" t="s">
        <v>38</v>
      </c>
      <c r="AF273" t="s">
        <v>57</v>
      </c>
      <c r="AG273" t="s">
        <v>58</v>
      </c>
      <c r="AH273" t="s">
        <v>35</v>
      </c>
      <c r="AI273" t="s">
        <v>41</v>
      </c>
    </row>
    <row r="274" spans="1:35">
      <c r="A274">
        <v>7634</v>
      </c>
      <c r="B274" t="s">
        <v>296</v>
      </c>
      <c r="C274">
        <v>3874</v>
      </c>
      <c r="D274" t="s">
        <v>211</v>
      </c>
      <c r="E274">
        <v>3874</v>
      </c>
      <c r="F274" t="s">
        <v>211</v>
      </c>
      <c r="G274" s="1">
        <v>46074</v>
      </c>
      <c r="H274" t="s">
        <v>64</v>
      </c>
      <c r="I274" t="s">
        <v>45</v>
      </c>
      <c r="J274" t="s">
        <v>82</v>
      </c>
      <c r="K274" t="s">
        <v>219</v>
      </c>
      <c r="L274">
        <v>858</v>
      </c>
      <c r="M274">
        <v>0</v>
      </c>
      <c r="N274">
        <v>0</v>
      </c>
      <c r="O274">
        <v>0</v>
      </c>
      <c r="P274" t="s">
        <v>52</v>
      </c>
      <c r="Q274" t="s">
        <v>63</v>
      </c>
      <c r="R274" t="s">
        <v>43</v>
      </c>
      <c r="S274" t="s">
        <v>87</v>
      </c>
      <c r="T274" s="2">
        <v>46074.524965277778</v>
      </c>
      <c r="U274" s="2">
        <v>46074.525150462963</v>
      </c>
      <c r="V274" s="3">
        <f>Z274</f>
        <v>1.8518518518518518E-4</v>
      </c>
      <c r="W274" t="s">
        <v>49</v>
      </c>
      <c r="X274">
        <v>1</v>
      </c>
      <c r="Y274">
        <v>12</v>
      </c>
      <c r="Z274" s="3">
        <v>1.8518518518518518E-4</v>
      </c>
      <c r="AA274">
        <v>0.08</v>
      </c>
      <c r="AB274" t="s">
        <v>48</v>
      </c>
      <c r="AC274" s="3">
        <v>5.5312499999999994E-2</v>
      </c>
      <c r="AD274" t="s">
        <v>64</v>
      </c>
      <c r="AE274" t="s">
        <v>38</v>
      </c>
      <c r="AF274" t="s">
        <v>57</v>
      </c>
      <c r="AG274" t="s">
        <v>58</v>
      </c>
      <c r="AH274" t="s">
        <v>35</v>
      </c>
      <c r="AI274" t="s">
        <v>41</v>
      </c>
    </row>
    <row r="275" spans="1:35">
      <c r="A275">
        <v>7634</v>
      </c>
      <c r="B275" t="s">
        <v>296</v>
      </c>
      <c r="C275">
        <v>3874</v>
      </c>
      <c r="D275" t="s">
        <v>211</v>
      </c>
      <c r="E275">
        <v>3874</v>
      </c>
      <c r="F275" t="s">
        <v>211</v>
      </c>
      <c r="G275" s="1">
        <v>46074</v>
      </c>
      <c r="H275" t="s">
        <v>64</v>
      </c>
      <c r="I275" t="s">
        <v>45</v>
      </c>
      <c r="J275" t="s">
        <v>146</v>
      </c>
      <c r="K275" t="s">
        <v>154</v>
      </c>
      <c r="L275">
        <v>101373</v>
      </c>
      <c r="M275">
        <v>0</v>
      </c>
      <c r="N275">
        <v>0</v>
      </c>
      <c r="O275">
        <v>0</v>
      </c>
      <c r="P275" t="s">
        <v>52</v>
      </c>
      <c r="Q275" t="s">
        <v>63</v>
      </c>
      <c r="R275" t="s">
        <v>36</v>
      </c>
      <c r="S275" t="s">
        <v>97</v>
      </c>
      <c r="T275" s="2">
        <v>46074.461805555555</v>
      </c>
      <c r="U275" s="2">
        <v>46074.479803240742</v>
      </c>
      <c r="V275" s="3">
        <v>8.3333333333333339E-4</v>
      </c>
      <c r="W275" t="s">
        <v>49</v>
      </c>
      <c r="X275">
        <v>1</v>
      </c>
      <c r="Y275">
        <v>12</v>
      </c>
      <c r="Z275" s="3">
        <v>3.472222222222222E-3</v>
      </c>
      <c r="AA275">
        <v>0.08</v>
      </c>
      <c r="AB275" t="s">
        <v>48</v>
      </c>
      <c r="AC275" s="3">
        <v>5.5312499999999994E-2</v>
      </c>
      <c r="AD275" t="s">
        <v>64</v>
      </c>
      <c r="AE275" t="s">
        <v>38</v>
      </c>
      <c r="AF275" t="s">
        <v>57</v>
      </c>
      <c r="AG275" t="s">
        <v>58</v>
      </c>
      <c r="AH275" t="s">
        <v>35</v>
      </c>
      <c r="AI275" t="s">
        <v>41</v>
      </c>
    </row>
    <row r="276" spans="1:35">
      <c r="A276">
        <v>7634</v>
      </c>
      <c r="B276" t="s">
        <v>296</v>
      </c>
      <c r="C276">
        <v>3874</v>
      </c>
      <c r="D276" t="s">
        <v>211</v>
      </c>
      <c r="E276">
        <v>3874</v>
      </c>
      <c r="F276" t="s">
        <v>211</v>
      </c>
      <c r="G276" s="1">
        <v>46074</v>
      </c>
      <c r="H276" t="s">
        <v>64</v>
      </c>
      <c r="I276" t="s">
        <v>45</v>
      </c>
      <c r="J276" t="s">
        <v>110</v>
      </c>
      <c r="K276" t="s">
        <v>112</v>
      </c>
      <c r="L276">
        <v>3967</v>
      </c>
      <c r="M276">
        <v>0</v>
      </c>
      <c r="N276">
        <v>0</v>
      </c>
      <c r="O276">
        <v>0</v>
      </c>
      <c r="P276" t="s">
        <v>52</v>
      </c>
      <c r="Q276" t="s">
        <v>63</v>
      </c>
      <c r="R276" t="s">
        <v>36</v>
      </c>
      <c r="S276" t="s">
        <v>113</v>
      </c>
      <c r="T276" s="2">
        <v>46074.460219907407</v>
      </c>
      <c r="U276" s="2">
        <v>46074.510694444441</v>
      </c>
      <c r="V276" s="3">
        <v>1.2152777777777778E-3</v>
      </c>
      <c r="W276" t="s">
        <v>49</v>
      </c>
      <c r="X276">
        <v>1</v>
      </c>
      <c r="Y276">
        <v>12</v>
      </c>
      <c r="Z276" s="3">
        <v>3.472222222222222E-3</v>
      </c>
      <c r="AA276">
        <v>0.08</v>
      </c>
      <c r="AB276" t="s">
        <v>48</v>
      </c>
      <c r="AC276" s="3">
        <v>5.5312499999999994E-2</v>
      </c>
      <c r="AD276" t="s">
        <v>64</v>
      </c>
      <c r="AE276" t="s">
        <v>38</v>
      </c>
      <c r="AF276" t="s">
        <v>57</v>
      </c>
      <c r="AG276" t="s">
        <v>58</v>
      </c>
      <c r="AH276" t="s">
        <v>35</v>
      </c>
      <c r="AI276" t="s">
        <v>41</v>
      </c>
    </row>
    <row r="277" spans="1:35">
      <c r="A277">
        <v>7634</v>
      </c>
      <c r="B277" t="s">
        <v>296</v>
      </c>
      <c r="C277">
        <v>3874</v>
      </c>
      <c r="D277" t="s">
        <v>211</v>
      </c>
      <c r="E277">
        <v>3874</v>
      </c>
      <c r="F277" t="s">
        <v>211</v>
      </c>
      <c r="G277" s="1">
        <v>46074</v>
      </c>
      <c r="H277" t="s">
        <v>64</v>
      </c>
      <c r="I277" t="s">
        <v>45</v>
      </c>
      <c r="J277" t="s">
        <v>76</v>
      </c>
      <c r="K277" t="s">
        <v>237</v>
      </c>
      <c r="L277">
        <v>570</v>
      </c>
      <c r="M277">
        <v>0</v>
      </c>
      <c r="N277">
        <v>0</v>
      </c>
      <c r="O277">
        <v>0</v>
      </c>
      <c r="P277" t="s">
        <v>52</v>
      </c>
      <c r="Q277" t="s">
        <v>282</v>
      </c>
      <c r="R277" t="s">
        <v>36</v>
      </c>
      <c r="S277" t="s">
        <v>128</v>
      </c>
      <c r="T277" s="2">
        <v>46074.331712962965</v>
      </c>
      <c r="U277" s="2">
        <v>46074.331782407404</v>
      </c>
      <c r="V277" s="3">
        <v>6.9444444444444444E-5</v>
      </c>
      <c r="W277" t="s">
        <v>49</v>
      </c>
      <c r="X277">
        <v>1</v>
      </c>
      <c r="Y277">
        <v>30</v>
      </c>
      <c r="Z277" s="3">
        <v>1.3888888888888889E-3</v>
      </c>
      <c r="AA277">
        <v>0.03</v>
      </c>
      <c r="AB277" t="s">
        <v>56</v>
      </c>
      <c r="AC277" s="3">
        <v>5.5312499999999994E-2</v>
      </c>
      <c r="AD277" t="s">
        <v>64</v>
      </c>
      <c r="AE277" t="s">
        <v>38</v>
      </c>
      <c r="AF277" t="s">
        <v>57</v>
      </c>
      <c r="AG277" t="s">
        <v>58</v>
      </c>
      <c r="AH277" t="s">
        <v>35</v>
      </c>
      <c r="AI277" t="s">
        <v>44</v>
      </c>
    </row>
    <row r="278" spans="1:35">
      <c r="A278">
        <v>7634</v>
      </c>
      <c r="B278" t="s">
        <v>296</v>
      </c>
      <c r="C278">
        <v>3874</v>
      </c>
      <c r="D278" t="s">
        <v>211</v>
      </c>
      <c r="E278">
        <v>3874</v>
      </c>
      <c r="F278" t="s">
        <v>211</v>
      </c>
      <c r="G278" s="1">
        <v>46074</v>
      </c>
      <c r="H278" t="s">
        <v>64</v>
      </c>
      <c r="I278" t="s">
        <v>45</v>
      </c>
      <c r="J278" t="s">
        <v>118</v>
      </c>
      <c r="K278" t="s">
        <v>202</v>
      </c>
      <c r="L278">
        <v>1224</v>
      </c>
      <c r="M278">
        <v>0</v>
      </c>
      <c r="N278">
        <v>0</v>
      </c>
      <c r="O278">
        <v>0</v>
      </c>
      <c r="P278" t="s">
        <v>52</v>
      </c>
      <c r="Q278" t="s">
        <v>63</v>
      </c>
      <c r="R278" t="s">
        <v>36</v>
      </c>
      <c r="S278" t="s">
        <v>203</v>
      </c>
      <c r="T278" s="2">
        <v>46074.526076388887</v>
      </c>
      <c r="U278" s="2">
        <v>46074.561631944445</v>
      </c>
      <c r="V278" s="3">
        <v>5.7870370370370378E-4</v>
      </c>
      <c r="W278" t="s">
        <v>49</v>
      </c>
      <c r="X278">
        <v>1</v>
      </c>
      <c r="Y278">
        <v>12</v>
      </c>
      <c r="Z278" s="3">
        <v>3.472222222222222E-3</v>
      </c>
      <c r="AA278">
        <v>0.08</v>
      </c>
      <c r="AB278" t="s">
        <v>48</v>
      </c>
      <c r="AC278" s="3">
        <v>5.5312499999999994E-2</v>
      </c>
      <c r="AD278" t="s">
        <v>64</v>
      </c>
      <c r="AE278" t="s">
        <v>38</v>
      </c>
      <c r="AF278" t="s">
        <v>57</v>
      </c>
      <c r="AG278" t="s">
        <v>58</v>
      </c>
      <c r="AH278" t="s">
        <v>35</v>
      </c>
      <c r="AI278" t="s">
        <v>41</v>
      </c>
    </row>
    <row r="279" spans="1:35">
      <c r="A279">
        <v>7634</v>
      </c>
      <c r="B279" t="s">
        <v>296</v>
      </c>
      <c r="C279">
        <v>3874</v>
      </c>
      <c r="D279" t="s">
        <v>211</v>
      </c>
      <c r="E279">
        <v>3874</v>
      </c>
      <c r="F279" t="s">
        <v>211</v>
      </c>
      <c r="G279" s="1">
        <v>46074</v>
      </c>
      <c r="H279" t="s">
        <v>64</v>
      </c>
      <c r="I279" t="s">
        <v>45</v>
      </c>
      <c r="J279" t="s">
        <v>110</v>
      </c>
      <c r="K279" t="s">
        <v>111</v>
      </c>
      <c r="L279">
        <v>100146</v>
      </c>
      <c r="M279">
        <v>0</v>
      </c>
      <c r="N279">
        <v>0</v>
      </c>
      <c r="O279">
        <v>0</v>
      </c>
      <c r="P279" t="s">
        <v>52</v>
      </c>
      <c r="Q279" t="s">
        <v>282</v>
      </c>
      <c r="R279" t="s">
        <v>36</v>
      </c>
      <c r="S279" t="s">
        <v>97</v>
      </c>
      <c r="T279" s="2">
        <v>46074.518530092595</v>
      </c>
      <c r="U279" s="2">
        <v>46074.518993055557</v>
      </c>
      <c r="V279" s="3">
        <v>4.6296296296296293E-4</v>
      </c>
      <c r="W279" t="s">
        <v>49</v>
      </c>
      <c r="X279">
        <v>1</v>
      </c>
      <c r="Y279">
        <v>30</v>
      </c>
      <c r="Z279" s="3">
        <v>1.3888888888888889E-3</v>
      </c>
      <c r="AA279">
        <v>0.03</v>
      </c>
      <c r="AB279" t="s">
        <v>48</v>
      </c>
      <c r="AC279" s="3">
        <v>5.5312499999999994E-2</v>
      </c>
      <c r="AD279" t="s">
        <v>64</v>
      </c>
      <c r="AE279" t="s">
        <v>38</v>
      </c>
      <c r="AF279" t="s">
        <v>57</v>
      </c>
      <c r="AG279" t="s">
        <v>58</v>
      </c>
      <c r="AH279" t="s">
        <v>35</v>
      </c>
      <c r="AI279" t="s">
        <v>44</v>
      </c>
    </row>
    <row r="280" spans="1:35">
      <c r="A280">
        <v>7634</v>
      </c>
      <c r="B280" t="s">
        <v>296</v>
      </c>
      <c r="C280">
        <v>3874</v>
      </c>
      <c r="D280" t="s">
        <v>211</v>
      </c>
      <c r="E280">
        <v>3874</v>
      </c>
      <c r="F280" t="s">
        <v>211</v>
      </c>
      <c r="G280" s="1">
        <v>46074</v>
      </c>
      <c r="H280" t="s">
        <v>64</v>
      </c>
      <c r="I280" t="s">
        <v>45</v>
      </c>
      <c r="J280" t="s">
        <v>110</v>
      </c>
      <c r="K280" t="s">
        <v>114</v>
      </c>
      <c r="L280">
        <v>3888</v>
      </c>
      <c r="M280">
        <v>0</v>
      </c>
      <c r="N280">
        <v>0</v>
      </c>
      <c r="O280">
        <v>0</v>
      </c>
      <c r="P280" t="s">
        <v>52</v>
      </c>
      <c r="Q280" t="s">
        <v>63</v>
      </c>
      <c r="R280" t="s">
        <v>36</v>
      </c>
      <c r="S280" t="s">
        <v>97</v>
      </c>
      <c r="T280" s="2">
        <v>46074.461157407408</v>
      </c>
      <c r="U280" s="2">
        <v>46074.515520833331</v>
      </c>
      <c r="V280" s="3">
        <v>7.5231481481481471E-4</v>
      </c>
      <c r="W280" t="s">
        <v>49</v>
      </c>
      <c r="X280">
        <v>1</v>
      </c>
      <c r="Y280">
        <v>12</v>
      </c>
      <c r="Z280" s="3">
        <v>3.472222222222222E-3</v>
      </c>
      <c r="AA280">
        <v>0.08</v>
      </c>
      <c r="AB280" t="s">
        <v>48</v>
      </c>
      <c r="AC280" s="3">
        <v>5.5312499999999994E-2</v>
      </c>
      <c r="AD280" t="s">
        <v>64</v>
      </c>
      <c r="AE280" t="s">
        <v>38</v>
      </c>
      <c r="AF280" t="s">
        <v>57</v>
      </c>
      <c r="AG280" t="s">
        <v>58</v>
      </c>
      <c r="AH280" t="s">
        <v>35</v>
      </c>
      <c r="AI280" t="s">
        <v>41</v>
      </c>
    </row>
    <row r="281" spans="1:35">
      <c r="A281">
        <v>7634</v>
      </c>
      <c r="B281" t="s">
        <v>296</v>
      </c>
      <c r="C281">
        <v>3874</v>
      </c>
      <c r="D281" t="s">
        <v>211</v>
      </c>
      <c r="E281">
        <v>3874</v>
      </c>
      <c r="F281" t="s">
        <v>211</v>
      </c>
      <c r="G281" s="1">
        <v>46074</v>
      </c>
      <c r="H281" t="s">
        <v>64</v>
      </c>
      <c r="I281" t="s">
        <v>45</v>
      </c>
      <c r="J281" t="s">
        <v>105</v>
      </c>
      <c r="K281" t="s">
        <v>279</v>
      </c>
      <c r="L281">
        <v>100104</v>
      </c>
      <c r="M281">
        <v>0</v>
      </c>
      <c r="N281">
        <v>0</v>
      </c>
      <c r="O281">
        <v>0</v>
      </c>
      <c r="P281" t="s">
        <v>52</v>
      </c>
      <c r="Q281" t="s">
        <v>63</v>
      </c>
      <c r="R281" t="s">
        <v>36</v>
      </c>
      <c r="S281" t="s">
        <v>174</v>
      </c>
      <c r="T281" s="2">
        <v>46074.562719907408</v>
      </c>
      <c r="U281" s="2">
        <v>46074.590254629627</v>
      </c>
      <c r="V281" s="3">
        <v>6.2500000000000001E-4</v>
      </c>
      <c r="W281" t="s">
        <v>49</v>
      </c>
      <c r="X281">
        <v>1</v>
      </c>
      <c r="Y281">
        <v>12</v>
      </c>
      <c r="Z281" s="3">
        <v>3.472222222222222E-3</v>
      </c>
      <c r="AA281">
        <v>0.08</v>
      </c>
      <c r="AB281" t="s">
        <v>48</v>
      </c>
      <c r="AC281" s="3">
        <v>5.5312499999999994E-2</v>
      </c>
      <c r="AD281" t="s">
        <v>64</v>
      </c>
      <c r="AE281" t="s">
        <v>38</v>
      </c>
      <c r="AF281" t="s">
        <v>57</v>
      </c>
      <c r="AG281" t="s">
        <v>58</v>
      </c>
      <c r="AH281" t="s">
        <v>35</v>
      </c>
      <c r="AI281" t="s">
        <v>41</v>
      </c>
    </row>
    <row r="282" spans="1:35">
      <c r="A282">
        <v>7634</v>
      </c>
      <c r="B282" t="s">
        <v>296</v>
      </c>
      <c r="C282">
        <v>3874</v>
      </c>
      <c r="D282" t="s">
        <v>211</v>
      </c>
      <c r="E282">
        <v>3874</v>
      </c>
      <c r="F282" t="s">
        <v>211</v>
      </c>
      <c r="G282" s="1">
        <v>46074</v>
      </c>
      <c r="H282" t="s">
        <v>64</v>
      </c>
      <c r="I282" t="s">
        <v>45</v>
      </c>
      <c r="J282" t="s">
        <v>102</v>
      </c>
      <c r="K282" t="s">
        <v>216</v>
      </c>
      <c r="L282">
        <v>101514</v>
      </c>
      <c r="M282">
        <v>0</v>
      </c>
      <c r="N282">
        <v>0</v>
      </c>
      <c r="O282">
        <v>0</v>
      </c>
      <c r="P282" t="s">
        <v>52</v>
      </c>
      <c r="Q282" t="s">
        <v>63</v>
      </c>
      <c r="R282" t="s">
        <v>36</v>
      </c>
      <c r="S282" t="s">
        <v>217</v>
      </c>
      <c r="T282" s="2">
        <v>46074.541967592595</v>
      </c>
      <c r="U282" s="2">
        <v>46074.5469212963</v>
      </c>
      <c r="V282" s="3">
        <v>4.9537037037037041E-3</v>
      </c>
      <c r="W282" t="s">
        <v>49</v>
      </c>
      <c r="X282">
        <v>1</v>
      </c>
      <c r="Y282">
        <v>12</v>
      </c>
      <c r="Z282" s="3">
        <v>3.472222222222222E-3</v>
      </c>
      <c r="AA282">
        <v>0.08</v>
      </c>
      <c r="AB282" t="s">
        <v>48</v>
      </c>
      <c r="AC282" s="3">
        <v>5.5312499999999994E-2</v>
      </c>
      <c r="AD282" t="s">
        <v>64</v>
      </c>
      <c r="AE282" t="s">
        <v>38</v>
      </c>
      <c r="AF282" t="s">
        <v>57</v>
      </c>
      <c r="AG282" t="s">
        <v>58</v>
      </c>
      <c r="AH282" t="s">
        <v>35</v>
      </c>
      <c r="AI282" t="s">
        <v>41</v>
      </c>
    </row>
    <row r="283" spans="1:35">
      <c r="A283">
        <v>7634</v>
      </c>
      <c r="B283" t="s">
        <v>296</v>
      </c>
      <c r="C283">
        <v>3874</v>
      </c>
      <c r="D283" t="s">
        <v>211</v>
      </c>
      <c r="E283">
        <v>3874</v>
      </c>
      <c r="F283" t="s">
        <v>211</v>
      </c>
      <c r="G283" s="1">
        <v>46074</v>
      </c>
      <c r="H283" t="s">
        <v>64</v>
      </c>
      <c r="I283" t="s">
        <v>45</v>
      </c>
      <c r="J283" t="s">
        <v>146</v>
      </c>
      <c r="K283" t="s">
        <v>154</v>
      </c>
      <c r="L283">
        <v>101362</v>
      </c>
      <c r="M283">
        <v>0</v>
      </c>
      <c r="N283">
        <v>0</v>
      </c>
      <c r="O283">
        <v>0</v>
      </c>
      <c r="P283" t="s">
        <v>52</v>
      </c>
      <c r="Q283" t="s">
        <v>63</v>
      </c>
      <c r="R283" t="s">
        <v>36</v>
      </c>
      <c r="S283" t="s">
        <v>97</v>
      </c>
      <c r="T283" s="2">
        <v>46074.459039351852</v>
      </c>
      <c r="U283" s="2">
        <v>46074.470277777778</v>
      </c>
      <c r="V283" s="3">
        <v>1.4351851851851854E-3</v>
      </c>
      <c r="W283" t="s">
        <v>49</v>
      </c>
      <c r="X283">
        <v>1</v>
      </c>
      <c r="Y283">
        <v>12</v>
      </c>
      <c r="Z283" s="3">
        <v>3.472222222222222E-3</v>
      </c>
      <c r="AA283">
        <v>0.08</v>
      </c>
      <c r="AB283" t="s">
        <v>48</v>
      </c>
      <c r="AC283" s="3">
        <v>5.5312499999999994E-2</v>
      </c>
      <c r="AD283" t="s">
        <v>64</v>
      </c>
      <c r="AE283" t="s">
        <v>38</v>
      </c>
      <c r="AF283" t="s">
        <v>57</v>
      </c>
      <c r="AG283" t="s">
        <v>58</v>
      </c>
      <c r="AH283" t="s">
        <v>35</v>
      </c>
      <c r="AI283" t="s">
        <v>41</v>
      </c>
    </row>
    <row r="284" spans="1:35">
      <c r="A284">
        <v>7634</v>
      </c>
      <c r="B284" t="s">
        <v>296</v>
      </c>
      <c r="C284">
        <v>3874</v>
      </c>
      <c r="D284" t="s">
        <v>211</v>
      </c>
      <c r="E284">
        <v>3874</v>
      </c>
      <c r="F284" t="s">
        <v>211</v>
      </c>
      <c r="G284" s="1">
        <v>46074</v>
      </c>
      <c r="H284" t="s">
        <v>64</v>
      </c>
      <c r="I284" t="s">
        <v>45</v>
      </c>
      <c r="J284" t="s">
        <v>132</v>
      </c>
      <c r="K284" t="s">
        <v>206</v>
      </c>
      <c r="L284">
        <v>7328</v>
      </c>
      <c r="M284">
        <v>0</v>
      </c>
      <c r="N284">
        <v>0</v>
      </c>
      <c r="O284">
        <v>0</v>
      </c>
      <c r="P284" t="s">
        <v>52</v>
      </c>
      <c r="Q284" t="s">
        <v>141</v>
      </c>
      <c r="R284" t="s">
        <v>36</v>
      </c>
      <c r="S284" t="s">
        <v>186</v>
      </c>
      <c r="T284" s="2">
        <v>46074.517800925925</v>
      </c>
      <c r="U284" s="2">
        <v>46074.518252314818</v>
      </c>
      <c r="V284" s="3">
        <v>4.5138888888888892E-4</v>
      </c>
      <c r="W284" t="s">
        <v>49</v>
      </c>
      <c r="X284">
        <v>1</v>
      </c>
      <c r="Y284">
        <v>60</v>
      </c>
      <c r="Z284" s="3">
        <v>6.9444444444444447E-4</v>
      </c>
      <c r="AA284">
        <v>0.02</v>
      </c>
      <c r="AB284" t="s">
        <v>48</v>
      </c>
      <c r="AC284" s="3">
        <v>5.5312499999999994E-2</v>
      </c>
      <c r="AD284" t="s">
        <v>64</v>
      </c>
      <c r="AE284" t="s">
        <v>38</v>
      </c>
      <c r="AF284" t="s">
        <v>57</v>
      </c>
      <c r="AG284" t="s">
        <v>58</v>
      </c>
      <c r="AH284" t="s">
        <v>35</v>
      </c>
      <c r="AI284" t="s">
        <v>41</v>
      </c>
    </row>
    <row r="285" spans="1:35">
      <c r="A285">
        <v>7634</v>
      </c>
      <c r="B285" t="s">
        <v>296</v>
      </c>
      <c r="C285">
        <v>3874</v>
      </c>
      <c r="D285" t="s">
        <v>211</v>
      </c>
      <c r="E285">
        <v>3874</v>
      </c>
      <c r="F285" t="s">
        <v>211</v>
      </c>
      <c r="G285" s="1">
        <v>46074</v>
      </c>
      <c r="H285" t="s">
        <v>64</v>
      </c>
      <c r="I285" t="s">
        <v>45</v>
      </c>
      <c r="J285" t="s">
        <v>158</v>
      </c>
      <c r="K285" t="s">
        <v>207</v>
      </c>
      <c r="L285">
        <v>100690</v>
      </c>
      <c r="M285">
        <v>0</v>
      </c>
      <c r="N285">
        <v>0</v>
      </c>
      <c r="O285">
        <v>0</v>
      </c>
      <c r="P285" t="s">
        <v>52</v>
      </c>
      <c r="Q285" t="s">
        <v>282</v>
      </c>
      <c r="R285" t="s">
        <v>36</v>
      </c>
      <c r="S285" t="s">
        <v>97</v>
      </c>
      <c r="T285" s="2">
        <v>46074.331041666665</v>
      </c>
      <c r="U285" s="2">
        <v>46074.331099537034</v>
      </c>
      <c r="V285" s="3">
        <v>5.7870370370370366E-5</v>
      </c>
      <c r="W285" t="s">
        <v>49</v>
      </c>
      <c r="X285">
        <v>1</v>
      </c>
      <c r="Y285">
        <v>30</v>
      </c>
      <c r="Z285" s="3">
        <v>1.3888888888888889E-3</v>
      </c>
      <c r="AA285">
        <v>0.03</v>
      </c>
      <c r="AB285" t="s">
        <v>48</v>
      </c>
      <c r="AC285" s="3">
        <v>5.5312499999999994E-2</v>
      </c>
      <c r="AD285" t="s">
        <v>64</v>
      </c>
      <c r="AE285" t="s">
        <v>38</v>
      </c>
      <c r="AF285" t="s">
        <v>57</v>
      </c>
      <c r="AG285" t="s">
        <v>58</v>
      </c>
      <c r="AH285" t="s">
        <v>35</v>
      </c>
      <c r="AI285" t="s">
        <v>44</v>
      </c>
    </row>
    <row r="286" spans="1:35">
      <c r="A286">
        <v>7634</v>
      </c>
      <c r="B286" t="s">
        <v>296</v>
      </c>
      <c r="C286">
        <v>3874</v>
      </c>
      <c r="D286" t="s">
        <v>211</v>
      </c>
      <c r="E286">
        <v>3874</v>
      </c>
      <c r="F286" t="s">
        <v>211</v>
      </c>
      <c r="G286" s="1">
        <v>46074</v>
      </c>
      <c r="H286" t="s">
        <v>64</v>
      </c>
      <c r="I286" t="s">
        <v>45</v>
      </c>
      <c r="J286" t="s">
        <v>118</v>
      </c>
      <c r="K286" t="s">
        <v>175</v>
      </c>
      <c r="L286">
        <v>100708</v>
      </c>
      <c r="M286">
        <v>0</v>
      </c>
      <c r="N286">
        <v>0</v>
      </c>
      <c r="O286">
        <v>0</v>
      </c>
      <c r="P286" t="s">
        <v>52</v>
      </c>
      <c r="Q286" t="s">
        <v>63</v>
      </c>
      <c r="R286" t="s">
        <v>36</v>
      </c>
      <c r="S286" t="s">
        <v>176</v>
      </c>
      <c r="T286" s="2">
        <v>46074.560879629629</v>
      </c>
      <c r="U286" s="2">
        <v>46074.563576388886</v>
      </c>
      <c r="V286" s="3">
        <v>6.4814814814814813E-4</v>
      </c>
      <c r="W286" t="s">
        <v>49</v>
      </c>
      <c r="X286">
        <v>1</v>
      </c>
      <c r="Y286">
        <v>5</v>
      </c>
      <c r="Z286" s="3">
        <v>8.3333333333333332E-3</v>
      </c>
      <c r="AA286">
        <v>0.2</v>
      </c>
      <c r="AB286" t="s">
        <v>48</v>
      </c>
      <c r="AC286" s="3">
        <v>5.5312499999999994E-2</v>
      </c>
      <c r="AD286" t="s">
        <v>64</v>
      </c>
      <c r="AE286" t="s">
        <v>38</v>
      </c>
      <c r="AF286" t="s">
        <v>57</v>
      </c>
      <c r="AG286" t="s">
        <v>58</v>
      </c>
      <c r="AH286" t="s">
        <v>35</v>
      </c>
      <c r="AI286" t="s">
        <v>41</v>
      </c>
    </row>
    <row r="287" spans="1:35">
      <c r="A287">
        <v>7634</v>
      </c>
      <c r="B287" t="s">
        <v>296</v>
      </c>
      <c r="C287">
        <v>3874</v>
      </c>
      <c r="D287" t="s">
        <v>211</v>
      </c>
      <c r="E287">
        <v>3874</v>
      </c>
      <c r="F287" t="s">
        <v>211</v>
      </c>
      <c r="G287" s="1">
        <v>46074</v>
      </c>
      <c r="H287" t="s">
        <v>64</v>
      </c>
      <c r="I287" t="s">
        <v>45</v>
      </c>
      <c r="J287" t="s">
        <v>118</v>
      </c>
      <c r="K287" t="s">
        <v>175</v>
      </c>
      <c r="L287">
        <v>100708</v>
      </c>
      <c r="M287">
        <v>0</v>
      </c>
      <c r="N287">
        <v>0</v>
      </c>
      <c r="O287">
        <v>0</v>
      </c>
      <c r="P287" t="s">
        <v>52</v>
      </c>
      <c r="Q287" t="s">
        <v>282</v>
      </c>
      <c r="R287" t="s">
        <v>36</v>
      </c>
      <c r="S287" t="s">
        <v>176</v>
      </c>
      <c r="T287" s="2">
        <v>46074.589629629627</v>
      </c>
      <c r="U287" s="2">
        <v>46074.589675925927</v>
      </c>
      <c r="V287" s="3">
        <v>4.6296296296296294E-5</v>
      </c>
      <c r="W287" t="s">
        <v>49</v>
      </c>
      <c r="X287">
        <v>1</v>
      </c>
      <c r="Y287">
        <v>30</v>
      </c>
      <c r="Z287" s="3">
        <v>1.3888888888888889E-3</v>
      </c>
      <c r="AA287">
        <v>0.03</v>
      </c>
      <c r="AB287" t="s">
        <v>48</v>
      </c>
      <c r="AC287" s="3">
        <v>5.5312499999999994E-2</v>
      </c>
      <c r="AD287" t="s">
        <v>64</v>
      </c>
      <c r="AE287" t="s">
        <v>38</v>
      </c>
      <c r="AF287" t="s">
        <v>57</v>
      </c>
      <c r="AG287" t="s">
        <v>58</v>
      </c>
      <c r="AH287" t="s">
        <v>35</v>
      </c>
      <c r="AI287" t="s">
        <v>44</v>
      </c>
    </row>
    <row r="288" spans="1:35">
      <c r="A288">
        <v>7634</v>
      </c>
      <c r="B288" t="s">
        <v>296</v>
      </c>
      <c r="C288">
        <v>3874</v>
      </c>
      <c r="D288" t="s">
        <v>211</v>
      </c>
      <c r="E288">
        <v>3874</v>
      </c>
      <c r="F288" t="s">
        <v>211</v>
      </c>
      <c r="G288" s="1">
        <v>46074</v>
      </c>
      <c r="H288" t="s">
        <v>64</v>
      </c>
      <c r="I288" t="s">
        <v>45</v>
      </c>
      <c r="J288" t="s">
        <v>158</v>
      </c>
      <c r="K288" t="s">
        <v>213</v>
      </c>
      <c r="L288">
        <v>1400</v>
      </c>
      <c r="M288">
        <v>0</v>
      </c>
      <c r="N288">
        <v>0</v>
      </c>
      <c r="O288">
        <v>0</v>
      </c>
      <c r="P288" t="s">
        <v>52</v>
      </c>
      <c r="Q288" t="s">
        <v>63</v>
      </c>
      <c r="R288" t="s">
        <v>43</v>
      </c>
      <c r="S288" t="s">
        <v>205</v>
      </c>
      <c r="T288" s="2">
        <v>46074.547812500001</v>
      </c>
      <c r="U288" s="2">
        <v>46074.548078703701</v>
      </c>
      <c r="V288" s="3">
        <f>Z288</f>
        <v>2.6620370370370372E-4</v>
      </c>
      <c r="W288" t="s">
        <v>49</v>
      </c>
      <c r="X288">
        <v>1</v>
      </c>
      <c r="Y288">
        <v>12</v>
      </c>
      <c r="Z288" s="3">
        <v>2.6620370370370372E-4</v>
      </c>
      <c r="AA288">
        <v>0.08</v>
      </c>
      <c r="AB288" t="s">
        <v>48</v>
      </c>
      <c r="AC288" s="3">
        <v>5.5312499999999994E-2</v>
      </c>
      <c r="AD288" t="s">
        <v>64</v>
      </c>
      <c r="AE288" t="s">
        <v>38</v>
      </c>
      <c r="AF288" t="s">
        <v>57</v>
      </c>
      <c r="AG288" t="s">
        <v>58</v>
      </c>
      <c r="AH288" t="s">
        <v>35</v>
      </c>
      <c r="AI288" t="s">
        <v>41</v>
      </c>
    </row>
    <row r="289" spans="1:35">
      <c r="A289">
        <v>7634</v>
      </c>
      <c r="B289" t="s">
        <v>296</v>
      </c>
      <c r="C289">
        <v>3874</v>
      </c>
      <c r="D289" t="s">
        <v>211</v>
      </c>
      <c r="E289">
        <v>3874</v>
      </c>
      <c r="F289" t="s">
        <v>211</v>
      </c>
      <c r="G289" s="1">
        <v>46074</v>
      </c>
      <c r="H289" t="s">
        <v>64</v>
      </c>
      <c r="I289" t="s">
        <v>45</v>
      </c>
      <c r="J289" t="s">
        <v>132</v>
      </c>
      <c r="K289" t="s">
        <v>225</v>
      </c>
      <c r="L289">
        <v>106351</v>
      </c>
      <c r="M289">
        <v>0</v>
      </c>
      <c r="N289">
        <v>0</v>
      </c>
      <c r="O289">
        <v>0</v>
      </c>
      <c r="P289" t="s">
        <v>52</v>
      </c>
      <c r="Q289" t="s">
        <v>63</v>
      </c>
      <c r="R289" t="s">
        <v>36</v>
      </c>
      <c r="S289" t="s">
        <v>226</v>
      </c>
      <c r="T289" s="2">
        <v>46074.562488425923</v>
      </c>
      <c r="U289" s="2">
        <v>46074.588379629633</v>
      </c>
      <c r="V289" s="3">
        <v>1.5046296296296294E-3</v>
      </c>
      <c r="W289" t="s">
        <v>49</v>
      </c>
      <c r="X289">
        <v>1</v>
      </c>
      <c r="Y289">
        <v>12</v>
      </c>
      <c r="Z289" s="3">
        <v>3.472222222222222E-3</v>
      </c>
      <c r="AA289">
        <v>0.08</v>
      </c>
      <c r="AB289" t="s">
        <v>48</v>
      </c>
      <c r="AC289" s="3">
        <v>5.5312499999999994E-2</v>
      </c>
      <c r="AD289" t="s">
        <v>64</v>
      </c>
      <c r="AE289" t="s">
        <v>38</v>
      </c>
      <c r="AF289" t="s">
        <v>57</v>
      </c>
      <c r="AG289" t="s">
        <v>58</v>
      </c>
      <c r="AH289" t="s">
        <v>35</v>
      </c>
      <c r="AI289" t="s">
        <v>41</v>
      </c>
    </row>
    <row r="290" spans="1:35">
      <c r="A290">
        <v>7634</v>
      </c>
      <c r="B290" t="s">
        <v>296</v>
      </c>
      <c r="C290">
        <v>3874</v>
      </c>
      <c r="D290" t="s">
        <v>211</v>
      </c>
      <c r="E290">
        <v>3874</v>
      </c>
      <c r="F290" t="s">
        <v>211</v>
      </c>
      <c r="G290" s="1">
        <v>46074</v>
      </c>
      <c r="H290" t="s">
        <v>64</v>
      </c>
      <c r="I290" t="s">
        <v>45</v>
      </c>
      <c r="J290" t="s">
        <v>118</v>
      </c>
      <c r="K290" t="s">
        <v>202</v>
      </c>
      <c r="L290">
        <v>1225</v>
      </c>
      <c r="M290">
        <v>0</v>
      </c>
      <c r="N290">
        <v>0</v>
      </c>
      <c r="O290">
        <v>0</v>
      </c>
      <c r="P290" t="s">
        <v>52</v>
      </c>
      <c r="Q290" t="s">
        <v>63</v>
      </c>
      <c r="R290" t="s">
        <v>36</v>
      </c>
      <c r="S290" t="s">
        <v>203</v>
      </c>
      <c r="T290" s="2">
        <v>46074.554016203707</v>
      </c>
      <c r="U290" s="2">
        <v>46074.557534722226</v>
      </c>
      <c r="V290" s="3">
        <v>6.5972222222222213E-4</v>
      </c>
      <c r="W290" t="s">
        <v>49</v>
      </c>
      <c r="X290">
        <v>1</v>
      </c>
      <c r="Y290">
        <v>12</v>
      </c>
      <c r="Z290" s="3">
        <v>3.472222222222222E-3</v>
      </c>
      <c r="AA290">
        <v>0.08</v>
      </c>
      <c r="AB290" t="s">
        <v>48</v>
      </c>
      <c r="AC290" s="3">
        <v>5.5312499999999994E-2</v>
      </c>
      <c r="AD290" t="s">
        <v>64</v>
      </c>
      <c r="AE290" t="s">
        <v>38</v>
      </c>
      <c r="AF290" t="s">
        <v>57</v>
      </c>
      <c r="AG290" t="s">
        <v>58</v>
      </c>
      <c r="AH290" t="s">
        <v>35</v>
      </c>
      <c r="AI290" t="s">
        <v>41</v>
      </c>
    </row>
    <row r="291" spans="1:35">
      <c r="A291">
        <v>7634</v>
      </c>
      <c r="B291" t="s">
        <v>296</v>
      </c>
      <c r="C291">
        <v>3874</v>
      </c>
      <c r="D291" t="s">
        <v>211</v>
      </c>
      <c r="E291">
        <v>3874</v>
      </c>
      <c r="F291" t="s">
        <v>211</v>
      </c>
      <c r="G291" s="1">
        <v>46074</v>
      </c>
      <c r="H291" t="s">
        <v>64</v>
      </c>
      <c r="I291" t="s">
        <v>45</v>
      </c>
      <c r="J291" t="s">
        <v>132</v>
      </c>
      <c r="K291" t="s">
        <v>188</v>
      </c>
      <c r="L291">
        <v>100248</v>
      </c>
      <c r="M291">
        <v>0</v>
      </c>
      <c r="N291">
        <v>0</v>
      </c>
      <c r="O291">
        <v>0</v>
      </c>
      <c r="P291" t="s">
        <v>52</v>
      </c>
      <c r="Q291" t="s">
        <v>282</v>
      </c>
      <c r="R291" t="s">
        <v>36</v>
      </c>
      <c r="S291" t="s">
        <v>186</v>
      </c>
      <c r="T291" s="2">
        <v>46074.330659722225</v>
      </c>
      <c r="U291" s="2">
        <v>46074.33084490741</v>
      </c>
      <c r="V291" s="3">
        <v>1.8518518518518518E-4</v>
      </c>
      <c r="W291" t="s">
        <v>49</v>
      </c>
      <c r="X291">
        <v>1</v>
      </c>
      <c r="Y291">
        <v>30</v>
      </c>
      <c r="Z291" s="3">
        <v>1.3888888888888889E-3</v>
      </c>
      <c r="AA291">
        <v>0.03</v>
      </c>
      <c r="AB291" t="s">
        <v>48</v>
      </c>
      <c r="AC291" s="3">
        <v>5.5312499999999994E-2</v>
      </c>
      <c r="AD291" t="s">
        <v>64</v>
      </c>
      <c r="AE291" t="s">
        <v>38</v>
      </c>
      <c r="AF291" t="s">
        <v>57</v>
      </c>
      <c r="AG291" t="s">
        <v>58</v>
      </c>
      <c r="AH291" t="s">
        <v>35</v>
      </c>
      <c r="AI291" t="s">
        <v>44</v>
      </c>
    </row>
    <row r="292" spans="1:35">
      <c r="A292">
        <v>20845</v>
      </c>
      <c r="B292" t="s">
        <v>288</v>
      </c>
      <c r="K292" t="s">
        <v>135</v>
      </c>
      <c r="L292">
        <v>110139</v>
      </c>
      <c r="M292">
        <v>0</v>
      </c>
      <c r="N292">
        <v>0</v>
      </c>
      <c r="O292">
        <v>0</v>
      </c>
      <c r="P292" t="s">
        <v>52</v>
      </c>
      <c r="Q292" t="s">
        <v>194</v>
      </c>
      <c r="R292" t="s">
        <v>283</v>
      </c>
      <c r="T292" s="2">
        <v>46074.402430555558</v>
      </c>
      <c r="U292" s="2">
        <v>46074.40253472222</v>
      </c>
      <c r="V292" s="3">
        <v>1.0416666666666667E-4</v>
      </c>
      <c r="W292" s="3"/>
      <c r="Y292" s="2"/>
      <c r="Z292" s="3">
        <v>1.0416666666666667E-4</v>
      </c>
      <c r="AI292" t="s">
        <v>44</v>
      </c>
    </row>
    <row r="293" spans="1:35">
      <c r="A293">
        <v>20845</v>
      </c>
      <c r="B293" t="s">
        <v>288</v>
      </c>
      <c r="K293" t="s">
        <v>135</v>
      </c>
      <c r="L293">
        <v>110139</v>
      </c>
      <c r="M293">
        <v>0</v>
      </c>
      <c r="N293">
        <v>0</v>
      </c>
      <c r="O293">
        <v>0</v>
      </c>
      <c r="P293" t="s">
        <v>99</v>
      </c>
      <c r="Q293" t="s">
        <v>223</v>
      </c>
      <c r="R293" t="s">
        <v>283</v>
      </c>
      <c r="T293" s="2">
        <v>46074.397372685184</v>
      </c>
      <c r="U293" s="2">
        <v>46074.402372685188</v>
      </c>
      <c r="V293" s="3">
        <v>5.0000000000000001E-3</v>
      </c>
      <c r="W293" s="3"/>
      <c r="Y293" s="2"/>
      <c r="Z293" s="3">
        <v>5.0000000000000001E-3</v>
      </c>
      <c r="AI293" t="s">
        <v>44</v>
      </c>
    </row>
    <row r="294" spans="1:35">
      <c r="A294">
        <v>20845</v>
      </c>
      <c r="B294" t="s">
        <v>288</v>
      </c>
      <c r="K294" t="s">
        <v>236</v>
      </c>
      <c r="L294">
        <v>100967</v>
      </c>
      <c r="M294">
        <v>0</v>
      </c>
      <c r="N294">
        <v>0</v>
      </c>
      <c r="O294">
        <v>0</v>
      </c>
      <c r="P294" t="s">
        <v>52</v>
      </c>
      <c r="Q294" t="s">
        <v>140</v>
      </c>
      <c r="R294" t="s">
        <v>283</v>
      </c>
      <c r="T294" s="2">
        <v>46074</v>
      </c>
      <c r="U294" s="2">
        <v>46074.57675925926</v>
      </c>
      <c r="V294" s="3">
        <v>1.3657407407407409E-3</v>
      </c>
      <c r="W294" s="3"/>
      <c r="Y294" s="2"/>
      <c r="Z294" s="3">
        <v>1.3657407407407409E-3</v>
      </c>
      <c r="AI294" t="s">
        <v>44</v>
      </c>
    </row>
    <row r="295" spans="1:35">
      <c r="A295">
        <v>22541</v>
      </c>
      <c r="B295" t="s">
        <v>258</v>
      </c>
      <c r="K295" t="s">
        <v>142</v>
      </c>
      <c r="L295">
        <v>13203</v>
      </c>
      <c r="M295">
        <v>0</v>
      </c>
      <c r="N295">
        <v>0</v>
      </c>
      <c r="O295">
        <v>0</v>
      </c>
      <c r="P295" t="s">
        <v>71</v>
      </c>
      <c r="Q295" t="s">
        <v>259</v>
      </c>
      <c r="R295" t="s">
        <v>283</v>
      </c>
      <c r="T295" s="2">
        <v>46074.447708333333</v>
      </c>
      <c r="U295" s="2">
        <v>46074.44872685185</v>
      </c>
      <c r="V295" s="3">
        <v>1.0185185185185186E-3</v>
      </c>
      <c r="W295" s="3"/>
      <c r="Y295" s="2"/>
      <c r="Z295" s="3">
        <v>1.0185185185185186E-3</v>
      </c>
      <c r="AI295" t="s">
        <v>44</v>
      </c>
    </row>
    <row r="296" spans="1:35">
      <c r="A296">
        <v>22602</v>
      </c>
      <c r="B296" t="s">
        <v>292</v>
      </c>
      <c r="K296" t="s">
        <v>284</v>
      </c>
      <c r="L296">
        <v>768</v>
      </c>
      <c r="M296">
        <v>0</v>
      </c>
      <c r="N296">
        <v>0</v>
      </c>
      <c r="O296">
        <v>0</v>
      </c>
      <c r="P296" t="s">
        <v>52</v>
      </c>
      <c r="Q296" t="s">
        <v>194</v>
      </c>
      <c r="R296" t="s">
        <v>283</v>
      </c>
      <c r="T296" s="2">
        <v>46074.417210648149</v>
      </c>
      <c r="U296" s="2">
        <v>46074.417349537034</v>
      </c>
      <c r="V296" s="3">
        <v>1.3888888888888889E-4</v>
      </c>
      <c r="W296" s="3"/>
      <c r="Y296" s="2"/>
      <c r="Z296" s="3">
        <v>1.3888888888888889E-4</v>
      </c>
      <c r="AI296" t="s">
        <v>44</v>
      </c>
    </row>
    <row r="297" spans="1:35">
      <c r="A297">
        <v>22602</v>
      </c>
      <c r="B297" t="s">
        <v>292</v>
      </c>
      <c r="K297" t="s">
        <v>135</v>
      </c>
      <c r="L297">
        <v>110146</v>
      </c>
      <c r="M297">
        <v>0</v>
      </c>
      <c r="N297">
        <v>0</v>
      </c>
      <c r="O297">
        <v>0</v>
      </c>
      <c r="P297" t="s">
        <v>52</v>
      </c>
      <c r="Q297" t="s">
        <v>194</v>
      </c>
      <c r="R297" t="s">
        <v>283</v>
      </c>
      <c r="T297" s="2">
        <v>46074.886423611111</v>
      </c>
      <c r="U297" s="2">
        <v>46074.886574074073</v>
      </c>
      <c r="V297" s="3">
        <v>1.5046296296296297E-4</v>
      </c>
      <c r="W297" s="3"/>
      <c r="Y297" s="2"/>
      <c r="Z297" s="3">
        <v>1.5046296296296297E-4</v>
      </c>
      <c r="AI297" t="s">
        <v>44</v>
      </c>
    </row>
    <row r="298" spans="1:35">
      <c r="A298">
        <v>22602</v>
      </c>
      <c r="B298" t="s">
        <v>292</v>
      </c>
      <c r="K298" t="s">
        <v>127</v>
      </c>
      <c r="L298">
        <v>62367</v>
      </c>
      <c r="M298">
        <v>0</v>
      </c>
      <c r="N298">
        <v>0</v>
      </c>
      <c r="O298">
        <v>0</v>
      </c>
      <c r="P298" t="s">
        <v>52</v>
      </c>
      <c r="Q298" t="s">
        <v>194</v>
      </c>
      <c r="R298" t="s">
        <v>283</v>
      </c>
      <c r="T298" s="2">
        <v>46074.885868055557</v>
      </c>
      <c r="U298" s="2">
        <v>46074.885995370372</v>
      </c>
      <c r="V298" s="3">
        <v>1.273148148148148E-4</v>
      </c>
      <c r="W298" s="3"/>
      <c r="Y298" s="2"/>
      <c r="Z298" s="3">
        <v>1.273148148148148E-4</v>
      </c>
      <c r="AI298" t="s">
        <v>44</v>
      </c>
    </row>
    <row r="299" spans="1:35">
      <c r="A299">
        <v>22602</v>
      </c>
      <c r="B299" t="s">
        <v>292</v>
      </c>
      <c r="K299" t="s">
        <v>284</v>
      </c>
      <c r="L299">
        <v>768</v>
      </c>
      <c r="M299">
        <v>0</v>
      </c>
      <c r="N299">
        <v>0</v>
      </c>
      <c r="O299">
        <v>0</v>
      </c>
      <c r="P299" t="s">
        <v>99</v>
      </c>
      <c r="Q299" t="s">
        <v>223</v>
      </c>
      <c r="R299" t="s">
        <v>283</v>
      </c>
      <c r="T299" s="2">
        <v>46074.394432870373</v>
      </c>
      <c r="U299" s="2">
        <v>46074.417094907411</v>
      </c>
      <c r="V299" s="3">
        <v>2.2662037037037036E-2</v>
      </c>
      <c r="W299" s="3"/>
      <c r="Y299" s="2"/>
      <c r="Z299" s="3">
        <v>2.2662037037037036E-2</v>
      </c>
      <c r="AI299" t="s">
        <v>44</v>
      </c>
    </row>
    <row r="300" spans="1:35">
      <c r="A300">
        <v>22602</v>
      </c>
      <c r="B300" t="s">
        <v>292</v>
      </c>
      <c r="K300" t="s">
        <v>135</v>
      </c>
      <c r="L300">
        <v>110150</v>
      </c>
      <c r="M300">
        <v>0</v>
      </c>
      <c r="N300">
        <v>0</v>
      </c>
      <c r="O300">
        <v>0</v>
      </c>
      <c r="P300" t="s">
        <v>99</v>
      </c>
      <c r="Q300" t="s">
        <v>223</v>
      </c>
      <c r="R300" t="s">
        <v>283</v>
      </c>
      <c r="T300" s="2">
        <v>46074.870196759257</v>
      </c>
      <c r="U300" s="2">
        <v>46074.885370370372</v>
      </c>
      <c r="V300" s="3">
        <v>1.5173611111111112E-2</v>
      </c>
      <c r="W300" s="3"/>
      <c r="Y300" s="2"/>
      <c r="Z300" s="3">
        <v>1.5173611111111112E-2</v>
      </c>
      <c r="AI300" t="s">
        <v>44</v>
      </c>
    </row>
    <row r="301" spans="1:35">
      <c r="A301">
        <v>22602</v>
      </c>
      <c r="B301" t="s">
        <v>292</v>
      </c>
      <c r="K301" t="s">
        <v>135</v>
      </c>
      <c r="L301">
        <v>110146</v>
      </c>
      <c r="M301">
        <v>0</v>
      </c>
      <c r="N301">
        <v>0</v>
      </c>
      <c r="O301">
        <v>0</v>
      </c>
      <c r="P301" t="s">
        <v>99</v>
      </c>
      <c r="Q301" t="s">
        <v>223</v>
      </c>
      <c r="R301" t="s">
        <v>283</v>
      </c>
      <c r="T301" s="2">
        <v>46074.886238425926</v>
      </c>
      <c r="U301" s="2">
        <v>46074.886388888888</v>
      </c>
      <c r="V301" s="3">
        <v>1.5046296296296297E-4</v>
      </c>
      <c r="W301" s="3"/>
      <c r="Y301" s="2"/>
      <c r="Z301" s="3">
        <v>1.5046296296296297E-4</v>
      </c>
      <c r="AI301" t="s">
        <v>44</v>
      </c>
    </row>
    <row r="302" spans="1:35">
      <c r="A302">
        <v>22602</v>
      </c>
      <c r="B302" t="s">
        <v>292</v>
      </c>
      <c r="K302" t="s">
        <v>127</v>
      </c>
      <c r="L302">
        <v>62367</v>
      </c>
      <c r="M302">
        <v>0</v>
      </c>
      <c r="N302">
        <v>0</v>
      </c>
      <c r="O302">
        <v>0</v>
      </c>
      <c r="P302" t="s">
        <v>99</v>
      </c>
      <c r="Q302" t="s">
        <v>223</v>
      </c>
      <c r="R302" t="s">
        <v>283</v>
      </c>
      <c r="T302" s="2">
        <v>46074.344652777778</v>
      </c>
      <c r="U302" s="2">
        <v>46074.885798611111</v>
      </c>
      <c r="V302" s="3">
        <v>4.5868055555555558E-2</v>
      </c>
      <c r="W302" s="3"/>
      <c r="Y302" s="2"/>
      <c r="Z302" s="3">
        <v>4.5868055555555558E-2</v>
      </c>
      <c r="AI302" t="s">
        <v>44</v>
      </c>
    </row>
    <row r="303" spans="1:35">
      <c r="A303">
        <v>22602</v>
      </c>
      <c r="B303" t="s">
        <v>292</v>
      </c>
      <c r="K303" t="s">
        <v>157</v>
      </c>
      <c r="L303">
        <v>8369</v>
      </c>
      <c r="M303">
        <v>0</v>
      </c>
      <c r="N303">
        <v>0</v>
      </c>
      <c r="O303">
        <v>0</v>
      </c>
      <c r="P303" t="s">
        <v>99</v>
      </c>
      <c r="Q303" t="s">
        <v>224</v>
      </c>
      <c r="R303" t="s">
        <v>283</v>
      </c>
      <c r="T303" s="2">
        <v>46074.912800925929</v>
      </c>
      <c r="U303" s="2">
        <v>46074.931504629632</v>
      </c>
      <c r="V303" s="3">
        <v>7.0949074074074074E-3</v>
      </c>
      <c r="W303" s="3"/>
      <c r="Y303" s="2"/>
      <c r="Z303" s="3">
        <v>7.0949074074074074E-3</v>
      </c>
      <c r="AI303" t="s">
        <v>44</v>
      </c>
    </row>
    <row r="304" spans="1:35">
      <c r="A304">
        <v>20535</v>
      </c>
      <c r="B304" t="s">
        <v>242</v>
      </c>
      <c r="K304" t="s">
        <v>240</v>
      </c>
      <c r="L304">
        <v>102700</v>
      </c>
      <c r="M304">
        <v>0</v>
      </c>
      <c r="N304">
        <v>0</v>
      </c>
      <c r="O304">
        <v>0</v>
      </c>
      <c r="P304" t="s">
        <v>52</v>
      </c>
      <c r="Q304" t="s">
        <v>45</v>
      </c>
      <c r="R304" t="s">
        <v>283</v>
      </c>
      <c r="T304" s="2">
        <v>46074.609444444446</v>
      </c>
      <c r="U304" s="2">
        <v>46074.638414351852</v>
      </c>
      <c r="V304" s="3">
        <v>2.8969907407407406E-2</v>
      </c>
      <c r="W304" s="3"/>
      <c r="Y304" s="2"/>
      <c r="Z304" s="3">
        <v>2.8969907407407406E-2</v>
      </c>
      <c r="AI304" t="s">
        <v>44</v>
      </c>
    </row>
    <row r="305" spans="1:35">
      <c r="A305">
        <v>20885</v>
      </c>
      <c r="B305" t="s">
        <v>289</v>
      </c>
      <c r="K305" t="s">
        <v>103</v>
      </c>
      <c r="L305">
        <v>33018</v>
      </c>
      <c r="M305">
        <v>0</v>
      </c>
      <c r="N305">
        <v>0</v>
      </c>
      <c r="O305">
        <v>0</v>
      </c>
      <c r="P305" t="s">
        <v>52</v>
      </c>
      <c r="Q305" t="s">
        <v>140</v>
      </c>
      <c r="R305" t="s">
        <v>283</v>
      </c>
      <c r="T305" s="2">
        <v>46074.370763888888</v>
      </c>
      <c r="U305" s="2">
        <v>46074.429270833331</v>
      </c>
      <c r="V305" s="3">
        <v>5.8506944444444452E-2</v>
      </c>
      <c r="W305" s="3"/>
      <c r="Y305" s="2"/>
      <c r="Z305" s="3">
        <v>5.8506944444444452E-2</v>
      </c>
      <c r="AI305" t="s">
        <v>44</v>
      </c>
    </row>
    <row r="306" spans="1:35">
      <c r="A306">
        <v>20885</v>
      </c>
      <c r="B306" t="s">
        <v>289</v>
      </c>
      <c r="K306" t="s">
        <v>103</v>
      </c>
      <c r="L306">
        <v>33026</v>
      </c>
      <c r="M306">
        <v>0</v>
      </c>
      <c r="N306">
        <v>0</v>
      </c>
      <c r="O306">
        <v>0</v>
      </c>
      <c r="P306" t="s">
        <v>52</v>
      </c>
      <c r="Q306" t="s">
        <v>140</v>
      </c>
      <c r="R306" t="s">
        <v>283</v>
      </c>
      <c r="T306" s="2">
        <v>46074.309652777774</v>
      </c>
      <c r="U306" s="2">
        <v>46074.315243055556</v>
      </c>
      <c r="V306" s="3">
        <v>5.5902777777777782E-3</v>
      </c>
      <c r="W306" s="3"/>
      <c r="Y306" s="2"/>
      <c r="Z306" s="3">
        <v>5.5902777777777782E-3</v>
      </c>
      <c r="AI306" t="s">
        <v>44</v>
      </c>
    </row>
    <row r="307" spans="1:35">
      <c r="A307">
        <v>20885</v>
      </c>
      <c r="B307" t="s">
        <v>289</v>
      </c>
      <c r="K307" t="s">
        <v>103</v>
      </c>
      <c r="L307">
        <v>33024</v>
      </c>
      <c r="M307">
        <v>0</v>
      </c>
      <c r="N307">
        <v>0</v>
      </c>
      <c r="O307">
        <v>0</v>
      </c>
      <c r="P307" t="s">
        <v>52</v>
      </c>
      <c r="Q307" t="s">
        <v>140</v>
      </c>
      <c r="R307" t="s">
        <v>283</v>
      </c>
      <c r="T307" s="2">
        <v>46074.302175925928</v>
      </c>
      <c r="U307" s="2">
        <v>46074.309479166666</v>
      </c>
      <c r="V307" s="3">
        <v>7.3032407407407412E-3</v>
      </c>
      <c r="W307" s="3"/>
      <c r="Y307" s="2"/>
      <c r="Z307" s="3">
        <v>7.3032407407407412E-3</v>
      </c>
      <c r="AI307" t="s">
        <v>44</v>
      </c>
    </row>
    <row r="308" spans="1:35">
      <c r="A308">
        <v>21151</v>
      </c>
      <c r="B308" t="s">
        <v>249</v>
      </c>
      <c r="K308" t="s">
        <v>111</v>
      </c>
      <c r="L308">
        <v>100150</v>
      </c>
      <c r="M308">
        <v>0</v>
      </c>
      <c r="N308">
        <v>0</v>
      </c>
      <c r="O308">
        <v>0</v>
      </c>
      <c r="P308" t="s">
        <v>52</v>
      </c>
      <c r="Q308" t="s">
        <v>140</v>
      </c>
      <c r="R308" t="s">
        <v>283</v>
      </c>
      <c r="T308" s="2">
        <v>46074.459293981483</v>
      </c>
      <c r="U308" s="2">
        <v>46074.475023148145</v>
      </c>
      <c r="V308" s="3">
        <v>1.5729166666666666E-2</v>
      </c>
      <c r="W308" s="3"/>
      <c r="Y308" s="2"/>
      <c r="Z308" s="3">
        <v>1.5729166666666666E-2</v>
      </c>
      <c r="AI308" t="s">
        <v>44</v>
      </c>
    </row>
    <row r="309" spans="1:35">
      <c r="A309">
        <v>21151</v>
      </c>
      <c r="B309" t="s">
        <v>249</v>
      </c>
      <c r="K309" t="s">
        <v>231</v>
      </c>
      <c r="L309">
        <v>100039</v>
      </c>
      <c r="M309">
        <v>0</v>
      </c>
      <c r="N309">
        <v>0</v>
      </c>
      <c r="O309">
        <v>0</v>
      </c>
      <c r="P309" t="s">
        <v>52</v>
      </c>
      <c r="Q309" t="s">
        <v>45</v>
      </c>
      <c r="R309" t="s">
        <v>283</v>
      </c>
      <c r="T309" s="2">
        <v>46074.527581018519</v>
      </c>
      <c r="U309" s="2">
        <v>46074.565416666665</v>
      </c>
      <c r="V309" s="3">
        <v>2.0150462962962964E-2</v>
      </c>
      <c r="W309" s="3"/>
      <c r="Y309" s="2"/>
      <c r="Z309" s="3">
        <v>2.0150462962962964E-2</v>
      </c>
      <c r="AI309" t="s">
        <v>44</v>
      </c>
    </row>
    <row r="310" spans="1:35">
      <c r="A310">
        <v>22279</v>
      </c>
      <c r="B310" t="s">
        <v>290</v>
      </c>
      <c r="K310" t="s">
        <v>232</v>
      </c>
      <c r="L310">
        <v>16678</v>
      </c>
      <c r="M310">
        <v>0</v>
      </c>
      <c r="N310">
        <v>0</v>
      </c>
      <c r="O310">
        <v>0</v>
      </c>
      <c r="P310" t="s">
        <v>99</v>
      </c>
      <c r="Q310" t="s">
        <v>224</v>
      </c>
      <c r="R310" t="s">
        <v>283</v>
      </c>
      <c r="T310" s="2">
        <v>46074.295104166667</v>
      </c>
      <c r="U310" s="2">
        <v>46074.474976851852</v>
      </c>
      <c r="V310" s="3">
        <v>3.0474537037037036E-2</v>
      </c>
      <c r="W310" s="3"/>
      <c r="Y310" s="2"/>
      <c r="Z310" s="3">
        <v>3.0474537037037036E-2</v>
      </c>
      <c r="AI310" t="s">
        <v>44</v>
      </c>
    </row>
    <row r="311" spans="1:35">
      <c r="A311">
        <v>22326</v>
      </c>
      <c r="B311" t="s">
        <v>291</v>
      </c>
      <c r="K311" t="s">
        <v>108</v>
      </c>
      <c r="L311">
        <v>57717</v>
      </c>
      <c r="M311">
        <v>0</v>
      </c>
      <c r="N311">
        <v>0</v>
      </c>
      <c r="O311">
        <v>0</v>
      </c>
      <c r="P311" t="s">
        <v>52</v>
      </c>
      <c r="Q311" t="s">
        <v>140</v>
      </c>
      <c r="R311" t="s">
        <v>283</v>
      </c>
      <c r="T311" s="2">
        <v>46074.837372685186</v>
      </c>
      <c r="U311" s="2">
        <v>46074.860092592593</v>
      </c>
      <c r="V311" s="3">
        <v>2.2719907407407411E-2</v>
      </c>
      <c r="W311" s="3"/>
      <c r="Y311" s="2"/>
      <c r="Z311" s="3">
        <v>2.2719907407407411E-2</v>
      </c>
      <c r="AI311" t="s">
        <v>44</v>
      </c>
    </row>
    <row r="312" spans="1:35">
      <c r="A312">
        <v>22326</v>
      </c>
      <c r="B312" t="s">
        <v>291</v>
      </c>
      <c r="K312" t="s">
        <v>148</v>
      </c>
      <c r="L312">
        <v>101294</v>
      </c>
      <c r="M312">
        <v>0</v>
      </c>
      <c r="N312">
        <v>0</v>
      </c>
      <c r="O312">
        <v>0</v>
      </c>
      <c r="P312" t="s">
        <v>52</v>
      </c>
      <c r="Q312" t="s">
        <v>140</v>
      </c>
      <c r="R312" t="s">
        <v>283</v>
      </c>
      <c r="T312" s="2">
        <v>46074.939965277779</v>
      </c>
      <c r="U312" s="2">
        <v>46074.956331018519</v>
      </c>
      <c r="V312" s="3">
        <v>1.636574074074074E-2</v>
      </c>
      <c r="W312" s="3"/>
      <c r="Y312" s="2"/>
      <c r="Z312" s="3">
        <v>1.636574074074074E-2</v>
      </c>
      <c r="AI312" t="s">
        <v>44</v>
      </c>
    </row>
    <row r="313" spans="1:35">
      <c r="A313">
        <v>22720</v>
      </c>
      <c r="B313" t="s">
        <v>262</v>
      </c>
      <c r="K313" t="s">
        <v>88</v>
      </c>
      <c r="L313">
        <v>552</v>
      </c>
      <c r="M313">
        <v>0</v>
      </c>
      <c r="N313">
        <v>0</v>
      </c>
      <c r="O313">
        <v>0</v>
      </c>
      <c r="P313" t="s">
        <v>99</v>
      </c>
      <c r="Q313" t="s">
        <v>224</v>
      </c>
      <c r="R313" t="s">
        <v>283</v>
      </c>
      <c r="T313" s="2">
        <v>46074.623368055552</v>
      </c>
      <c r="U313" s="2">
        <v>46074.627083333333</v>
      </c>
      <c r="V313" s="3">
        <v>3.7152777777777774E-3</v>
      </c>
      <c r="W313" s="3"/>
      <c r="Y313" s="2"/>
      <c r="Z313" s="3">
        <v>3.7152777777777774E-3</v>
      </c>
      <c r="AI313" t="s">
        <v>44</v>
      </c>
    </row>
    <row r="314" spans="1:35">
      <c r="A314">
        <v>22720</v>
      </c>
      <c r="B314" t="s">
        <v>262</v>
      </c>
      <c r="K314" t="s">
        <v>88</v>
      </c>
      <c r="L314">
        <v>553</v>
      </c>
      <c r="M314">
        <v>0</v>
      </c>
      <c r="N314">
        <v>0</v>
      </c>
      <c r="O314">
        <v>0</v>
      </c>
      <c r="P314" t="s">
        <v>99</v>
      </c>
      <c r="Q314" t="s">
        <v>224</v>
      </c>
      <c r="R314" t="s">
        <v>283</v>
      </c>
      <c r="T314" s="2">
        <v>46074.608460648145</v>
      </c>
      <c r="U314" s="2">
        <v>46074.622870370367</v>
      </c>
      <c r="V314" s="3">
        <v>1.4409722222222221E-2</v>
      </c>
      <c r="W314" s="3"/>
      <c r="Y314" s="2"/>
      <c r="Z314" s="3">
        <v>1.4409722222222221E-2</v>
      </c>
      <c r="AI314" t="s">
        <v>44</v>
      </c>
    </row>
    <row r="315" spans="1:35">
      <c r="A315">
        <v>22720</v>
      </c>
      <c r="B315" t="s">
        <v>262</v>
      </c>
      <c r="K315" t="s">
        <v>285</v>
      </c>
      <c r="L315">
        <v>101439</v>
      </c>
      <c r="M315">
        <v>0</v>
      </c>
      <c r="N315">
        <v>0</v>
      </c>
      <c r="O315">
        <v>0</v>
      </c>
      <c r="P315" t="s">
        <v>52</v>
      </c>
      <c r="Q315" t="s">
        <v>45</v>
      </c>
      <c r="R315" t="s">
        <v>283</v>
      </c>
      <c r="T315" s="2">
        <v>46074.499884259261</v>
      </c>
      <c r="U315" s="2">
        <v>46074.540173611109</v>
      </c>
      <c r="V315" s="3">
        <v>4.0289351851851847E-2</v>
      </c>
      <c r="W315" s="3"/>
      <c r="Y315" s="2"/>
      <c r="Z315" s="3">
        <v>4.0289351851851847E-2</v>
      </c>
      <c r="AI315" t="s">
        <v>44</v>
      </c>
    </row>
    <row r="316" spans="1:35">
      <c r="A316">
        <v>22833</v>
      </c>
      <c r="B316" t="s">
        <v>264</v>
      </c>
      <c r="K316" t="s">
        <v>254</v>
      </c>
      <c r="L316">
        <v>966</v>
      </c>
      <c r="M316">
        <v>0</v>
      </c>
      <c r="N316">
        <v>0</v>
      </c>
      <c r="O316">
        <v>0</v>
      </c>
      <c r="P316" t="s">
        <v>52</v>
      </c>
      <c r="Q316" t="s">
        <v>140</v>
      </c>
      <c r="R316" t="s">
        <v>283</v>
      </c>
      <c r="T316" s="2">
        <v>46074.2031712963</v>
      </c>
      <c r="U316" s="2">
        <v>46074.22320601852</v>
      </c>
      <c r="V316" s="3">
        <v>2.0034722222222221E-2</v>
      </c>
      <c r="W316" s="3"/>
      <c r="Y316" s="2"/>
      <c r="Z316" s="3">
        <v>2.0034722222222221E-2</v>
      </c>
      <c r="AI316" t="s">
        <v>44</v>
      </c>
    </row>
    <row r="317" spans="1:35">
      <c r="A317">
        <v>22833</v>
      </c>
      <c r="B317" t="s">
        <v>264</v>
      </c>
      <c r="K317" t="s">
        <v>170</v>
      </c>
      <c r="L317">
        <v>5910</v>
      </c>
      <c r="M317">
        <v>0</v>
      </c>
      <c r="N317">
        <v>0</v>
      </c>
      <c r="O317">
        <v>0</v>
      </c>
      <c r="P317" t="s">
        <v>52</v>
      </c>
      <c r="Q317" t="s">
        <v>140</v>
      </c>
      <c r="R317" t="s">
        <v>283</v>
      </c>
      <c r="T317" s="2">
        <v>46074.111655092594</v>
      </c>
      <c r="U317" s="2">
        <v>46074.127881944441</v>
      </c>
      <c r="V317" s="3">
        <v>1.622685185185185E-2</v>
      </c>
      <c r="W317" s="3"/>
      <c r="Y317" s="2"/>
      <c r="Z317" s="3">
        <v>1.622685185185185E-2</v>
      </c>
      <c r="AI317" t="s">
        <v>44</v>
      </c>
    </row>
    <row r="318" spans="1:35">
      <c r="A318">
        <v>22923</v>
      </c>
      <c r="B318" t="s">
        <v>265</v>
      </c>
      <c r="K318" t="s">
        <v>196</v>
      </c>
      <c r="L318">
        <v>1568</v>
      </c>
      <c r="M318">
        <v>0</v>
      </c>
      <c r="N318">
        <v>0</v>
      </c>
      <c r="O318">
        <v>0</v>
      </c>
      <c r="P318" t="s">
        <v>99</v>
      </c>
      <c r="Q318" t="s">
        <v>224</v>
      </c>
      <c r="R318" t="s">
        <v>283</v>
      </c>
      <c r="T318" s="2">
        <v>46074.843888888892</v>
      </c>
      <c r="U318" s="2">
        <v>46074.877685185187</v>
      </c>
      <c r="V318" s="3">
        <v>3.3796296296296297E-2</v>
      </c>
      <c r="W318" s="3"/>
      <c r="Y318" s="2"/>
      <c r="Z318" s="3">
        <v>3.3796296296296297E-2</v>
      </c>
      <c r="AI318" t="s">
        <v>44</v>
      </c>
    </row>
    <row r="319" spans="1:35">
      <c r="A319">
        <v>22923</v>
      </c>
      <c r="B319" t="s">
        <v>265</v>
      </c>
      <c r="K319" t="s">
        <v>111</v>
      </c>
      <c r="L319">
        <v>100154</v>
      </c>
      <c r="M319">
        <v>0</v>
      </c>
      <c r="N319">
        <v>0</v>
      </c>
      <c r="O319">
        <v>0</v>
      </c>
      <c r="P319" t="s">
        <v>99</v>
      </c>
      <c r="Q319" t="s">
        <v>224</v>
      </c>
      <c r="R319" t="s">
        <v>283</v>
      </c>
      <c r="T319" s="2">
        <v>46074.682546296295</v>
      </c>
      <c r="U319" s="2">
        <v>46074.826874999999</v>
      </c>
      <c r="V319" s="3">
        <v>3.7395833333333336E-2</v>
      </c>
      <c r="W319" s="3"/>
      <c r="Y319" s="2"/>
      <c r="Z319" s="3">
        <v>3.7395833333333336E-2</v>
      </c>
      <c r="AI319" t="s">
        <v>44</v>
      </c>
    </row>
    <row r="320" spans="1:35">
      <c r="A320">
        <v>22924</v>
      </c>
      <c r="B320" t="s">
        <v>293</v>
      </c>
      <c r="K320" t="s">
        <v>161</v>
      </c>
      <c r="L320">
        <v>100979</v>
      </c>
      <c r="M320">
        <v>0</v>
      </c>
      <c r="N320">
        <v>0</v>
      </c>
      <c r="O320">
        <v>0</v>
      </c>
      <c r="P320" t="s">
        <v>99</v>
      </c>
      <c r="Q320" t="s">
        <v>224</v>
      </c>
      <c r="R320" t="s">
        <v>283</v>
      </c>
      <c r="T320" s="2">
        <v>46074.414641203701</v>
      </c>
      <c r="U320" s="2">
        <v>46074.494317129633</v>
      </c>
      <c r="V320" s="3">
        <v>1.4050925925925927E-2</v>
      </c>
      <c r="W320" s="3"/>
      <c r="Y320" s="2"/>
      <c r="Z320" s="3">
        <v>1.4050925925925927E-2</v>
      </c>
      <c r="AI320" t="s">
        <v>44</v>
      </c>
    </row>
    <row r="321" spans="1:35">
      <c r="A321">
        <v>22924</v>
      </c>
      <c r="B321" t="s">
        <v>293</v>
      </c>
      <c r="K321" t="s">
        <v>208</v>
      </c>
      <c r="L321">
        <v>104402</v>
      </c>
      <c r="M321">
        <v>0</v>
      </c>
      <c r="N321">
        <v>0</v>
      </c>
      <c r="O321">
        <v>0</v>
      </c>
      <c r="P321" t="s">
        <v>99</v>
      </c>
      <c r="Q321" t="s">
        <v>224</v>
      </c>
      <c r="R321" t="s">
        <v>283</v>
      </c>
      <c r="T321" s="2">
        <v>46074.518946759257</v>
      </c>
      <c r="U321" s="2">
        <v>46074.536122685182</v>
      </c>
      <c r="V321" s="3">
        <v>1.7175925925925924E-2</v>
      </c>
      <c r="W321" s="3"/>
      <c r="Y321" s="2"/>
      <c r="Z321" s="3">
        <v>1.7175925925925924E-2</v>
      </c>
      <c r="AI321" t="s">
        <v>44</v>
      </c>
    </row>
    <row r="322" spans="1:35">
      <c r="A322">
        <v>22958</v>
      </c>
      <c r="B322" t="s">
        <v>294</v>
      </c>
      <c r="K322" t="s">
        <v>67</v>
      </c>
      <c r="L322">
        <v>20466</v>
      </c>
      <c r="M322">
        <v>0</v>
      </c>
      <c r="N322">
        <v>0</v>
      </c>
      <c r="O322">
        <v>0</v>
      </c>
      <c r="P322" t="s">
        <v>52</v>
      </c>
      <c r="Q322" t="s">
        <v>194</v>
      </c>
      <c r="R322" t="s">
        <v>283</v>
      </c>
      <c r="T322" s="2">
        <v>46074</v>
      </c>
      <c r="U322" s="2">
        <v>46074.694363425922</v>
      </c>
      <c r="V322" s="3">
        <v>2.90162037037037E-2</v>
      </c>
      <c r="W322" s="3"/>
      <c r="Y322" s="2"/>
      <c r="Z322" s="3">
        <v>2.90162037037037E-2</v>
      </c>
      <c r="AI322" t="s">
        <v>44</v>
      </c>
    </row>
    <row r="323" spans="1:35">
      <c r="A323">
        <v>22958</v>
      </c>
      <c r="B323" t="s">
        <v>294</v>
      </c>
      <c r="K323" t="s">
        <v>143</v>
      </c>
      <c r="L323">
        <v>102664</v>
      </c>
      <c r="M323">
        <v>0</v>
      </c>
      <c r="N323">
        <v>0</v>
      </c>
      <c r="O323">
        <v>0</v>
      </c>
      <c r="P323" t="s">
        <v>52</v>
      </c>
      <c r="Q323" t="s">
        <v>194</v>
      </c>
      <c r="R323" t="s">
        <v>283</v>
      </c>
      <c r="T323" s="2">
        <v>46074.840740740743</v>
      </c>
      <c r="U323" s="2">
        <v>46074.878437500003</v>
      </c>
      <c r="V323" s="3">
        <v>3.7696759259259256E-2</v>
      </c>
      <c r="W323" s="3"/>
      <c r="Y323" s="2"/>
      <c r="Z323" s="3">
        <v>3.7696759259259256E-2</v>
      </c>
      <c r="AI323" t="s">
        <v>44</v>
      </c>
    </row>
    <row r="324" spans="1:35">
      <c r="A324">
        <v>22958</v>
      </c>
      <c r="B324" t="s">
        <v>294</v>
      </c>
      <c r="K324" t="s">
        <v>143</v>
      </c>
      <c r="L324">
        <v>102664</v>
      </c>
      <c r="M324">
        <v>0</v>
      </c>
      <c r="N324">
        <v>0</v>
      </c>
      <c r="O324">
        <v>0</v>
      </c>
      <c r="P324" t="s">
        <v>99</v>
      </c>
      <c r="Q324" t="s">
        <v>223</v>
      </c>
      <c r="R324" t="s">
        <v>283</v>
      </c>
      <c r="T324" s="2">
        <v>46074.878553240742</v>
      </c>
      <c r="U324" s="2">
        <v>46074.878854166665</v>
      </c>
      <c r="V324" s="3">
        <v>3.0092592592592595E-4</v>
      </c>
      <c r="W324" s="3"/>
      <c r="Y324" s="2"/>
      <c r="Z324" s="3">
        <v>3.0092592592592595E-4</v>
      </c>
      <c r="AI324" t="s">
        <v>44</v>
      </c>
    </row>
    <row r="325" spans="1:35">
      <c r="A325">
        <v>22958</v>
      </c>
      <c r="B325" t="s">
        <v>294</v>
      </c>
      <c r="K325" t="s">
        <v>67</v>
      </c>
      <c r="L325">
        <v>20466</v>
      </c>
      <c r="M325">
        <v>0</v>
      </c>
      <c r="N325">
        <v>0</v>
      </c>
      <c r="O325">
        <v>0</v>
      </c>
      <c r="P325" t="s">
        <v>99</v>
      </c>
      <c r="Q325" t="s">
        <v>223</v>
      </c>
      <c r="R325" t="s">
        <v>283</v>
      </c>
      <c r="T325" s="2">
        <v>46074.694456018522</v>
      </c>
      <c r="U325" s="2">
        <v>46074.69458333333</v>
      </c>
      <c r="V325" s="3">
        <v>1.273148148148148E-4</v>
      </c>
      <c r="W325" s="3"/>
      <c r="Y325" s="2"/>
      <c r="Z325" s="3">
        <v>1.273148148148148E-4</v>
      </c>
      <c r="AI325" t="s">
        <v>44</v>
      </c>
    </row>
    <row r="326" spans="1:35">
      <c r="A326">
        <v>22961</v>
      </c>
      <c r="B326" t="s">
        <v>271</v>
      </c>
      <c r="K326" t="s">
        <v>225</v>
      </c>
      <c r="L326">
        <v>106356</v>
      </c>
      <c r="M326">
        <v>0</v>
      </c>
      <c r="N326">
        <v>0</v>
      </c>
      <c r="O326">
        <v>0</v>
      </c>
      <c r="P326" t="s">
        <v>52</v>
      </c>
      <c r="Q326" t="s">
        <v>140</v>
      </c>
      <c r="R326" t="s">
        <v>283</v>
      </c>
      <c r="T326" s="2">
        <v>46074.603020833332</v>
      </c>
      <c r="U326" s="2">
        <v>46074.660752314812</v>
      </c>
      <c r="V326" s="3">
        <v>5.7731481481481474E-2</v>
      </c>
      <c r="W326" s="3"/>
      <c r="Y326" s="2"/>
      <c r="Z326" s="3">
        <v>5.7731481481481474E-2</v>
      </c>
      <c r="AI326" t="s">
        <v>44</v>
      </c>
    </row>
    <row r="327" spans="1:35">
      <c r="A327">
        <v>22961</v>
      </c>
      <c r="B327" t="s">
        <v>271</v>
      </c>
      <c r="K327" t="s">
        <v>225</v>
      </c>
      <c r="L327">
        <v>106354</v>
      </c>
      <c r="M327">
        <v>0</v>
      </c>
      <c r="N327">
        <v>0</v>
      </c>
      <c r="O327">
        <v>0</v>
      </c>
      <c r="P327" t="s">
        <v>52</v>
      </c>
      <c r="Q327" t="s">
        <v>140</v>
      </c>
      <c r="R327" t="s">
        <v>283</v>
      </c>
      <c r="T327" s="2">
        <v>46074.55127314815</v>
      </c>
      <c r="U327" s="2">
        <v>46074.663310185184</v>
      </c>
      <c r="V327" s="3">
        <v>5.168981481481482E-2</v>
      </c>
      <c r="W327" s="3"/>
      <c r="Y327" s="2"/>
      <c r="Z327" s="3">
        <v>5.168981481481482E-2</v>
      </c>
      <c r="AI327" t="s">
        <v>44</v>
      </c>
    </row>
    <row r="328" spans="1:35">
      <c r="A328">
        <v>22961</v>
      </c>
      <c r="B328" t="s">
        <v>271</v>
      </c>
      <c r="K328" t="s">
        <v>286</v>
      </c>
      <c r="L328">
        <v>212</v>
      </c>
      <c r="M328">
        <v>0</v>
      </c>
      <c r="N328">
        <v>0</v>
      </c>
      <c r="O328">
        <v>0</v>
      </c>
      <c r="P328" t="s">
        <v>52</v>
      </c>
      <c r="Q328" t="s">
        <v>140</v>
      </c>
      <c r="R328" t="s">
        <v>283</v>
      </c>
      <c r="T328" s="2">
        <v>46074.75105324074</v>
      </c>
      <c r="U328" s="2">
        <v>46074.805821759262</v>
      </c>
      <c r="V328" s="3">
        <v>5.4768518518518522E-2</v>
      </c>
      <c r="W328" s="3"/>
      <c r="Y328" s="2"/>
      <c r="Z328" s="3">
        <v>5.4768518518518522E-2</v>
      </c>
      <c r="AI328" t="s">
        <v>44</v>
      </c>
    </row>
    <row r="329" spans="1:35">
      <c r="A329">
        <v>23043</v>
      </c>
      <c r="B329" t="s">
        <v>273</v>
      </c>
      <c r="K329" t="s">
        <v>91</v>
      </c>
      <c r="L329">
        <v>108607</v>
      </c>
      <c r="M329">
        <v>0</v>
      </c>
      <c r="N329">
        <v>0</v>
      </c>
      <c r="O329">
        <v>0</v>
      </c>
      <c r="P329" t="s">
        <v>99</v>
      </c>
      <c r="Q329" t="s">
        <v>224</v>
      </c>
      <c r="R329" t="s">
        <v>283</v>
      </c>
      <c r="T329" s="2">
        <v>46074.551828703705</v>
      </c>
      <c r="U329" s="2">
        <v>46074.569837962961</v>
      </c>
      <c r="V329" s="3">
        <v>1.800925925925926E-2</v>
      </c>
      <c r="W329" s="3"/>
      <c r="Y329" s="2"/>
      <c r="Z329" s="3">
        <v>1.800925925925926E-2</v>
      </c>
      <c r="AI329" t="s">
        <v>44</v>
      </c>
    </row>
    <row r="330" spans="1:35">
      <c r="A330">
        <v>23043</v>
      </c>
      <c r="B330" t="s">
        <v>273</v>
      </c>
      <c r="K330" t="s">
        <v>68</v>
      </c>
      <c r="L330">
        <v>20926</v>
      </c>
      <c r="M330">
        <v>0</v>
      </c>
      <c r="N330">
        <v>0</v>
      </c>
      <c r="O330">
        <v>0</v>
      </c>
      <c r="P330" t="s">
        <v>99</v>
      </c>
      <c r="Q330" t="s">
        <v>224</v>
      </c>
      <c r="R330" t="s">
        <v>283</v>
      </c>
      <c r="T330" s="2">
        <v>46074.265127314815</v>
      </c>
      <c r="U330" s="2">
        <v>46074.296689814815</v>
      </c>
      <c r="V330" s="3">
        <v>3.15625E-2</v>
      </c>
      <c r="W330" s="3"/>
      <c r="Y330" s="2"/>
      <c r="Z330" s="3">
        <v>3.15625E-2</v>
      </c>
      <c r="AI330" t="s">
        <v>44</v>
      </c>
    </row>
    <row r="331" spans="1:35">
      <c r="A331">
        <v>23044</v>
      </c>
      <c r="B331" t="s">
        <v>274</v>
      </c>
      <c r="K331" t="s">
        <v>86</v>
      </c>
      <c r="L331">
        <v>373</v>
      </c>
      <c r="M331">
        <v>0</v>
      </c>
      <c r="N331">
        <v>0</v>
      </c>
      <c r="O331">
        <v>0</v>
      </c>
      <c r="P331" t="s">
        <v>99</v>
      </c>
      <c r="Q331" t="s">
        <v>224</v>
      </c>
      <c r="R331" t="s">
        <v>283</v>
      </c>
      <c r="T331" s="2">
        <v>46074.745682870373</v>
      </c>
      <c r="U331" s="2">
        <v>46074.770787037036</v>
      </c>
      <c r="V331" s="3">
        <v>2.5104166666666664E-2</v>
      </c>
      <c r="W331" s="3"/>
      <c r="Y331" s="2"/>
      <c r="Z331" s="3">
        <v>2.5104166666666664E-2</v>
      </c>
      <c r="AI331" t="s">
        <v>44</v>
      </c>
    </row>
    <row r="332" spans="1:35">
      <c r="A332">
        <v>23044</v>
      </c>
      <c r="B332" t="s">
        <v>274</v>
      </c>
      <c r="K332" t="s">
        <v>136</v>
      </c>
      <c r="L332">
        <v>15330</v>
      </c>
      <c r="M332">
        <v>0</v>
      </c>
      <c r="N332">
        <v>0</v>
      </c>
      <c r="O332">
        <v>0</v>
      </c>
      <c r="P332" t="s">
        <v>99</v>
      </c>
      <c r="Q332" t="s">
        <v>224</v>
      </c>
      <c r="R332" t="s">
        <v>283</v>
      </c>
      <c r="T332" s="2">
        <v>46074.863217592596</v>
      </c>
      <c r="U332" s="2">
        <v>46074.887685185182</v>
      </c>
      <c r="V332" s="3">
        <v>2.4467592592592593E-2</v>
      </c>
      <c r="W332" s="3"/>
      <c r="Y332" s="2"/>
      <c r="Z332" s="3">
        <v>2.4467592592592593E-2</v>
      </c>
      <c r="AI332" t="s">
        <v>44</v>
      </c>
    </row>
    <row r="333" spans="1:35">
      <c r="A333">
        <v>23044</v>
      </c>
      <c r="B333" t="s">
        <v>274</v>
      </c>
      <c r="K333" t="s">
        <v>136</v>
      </c>
      <c r="L333">
        <v>15329</v>
      </c>
      <c r="M333">
        <v>0</v>
      </c>
      <c r="N333">
        <v>0</v>
      </c>
      <c r="O333">
        <v>0</v>
      </c>
      <c r="P333" t="s">
        <v>99</v>
      </c>
      <c r="Q333" t="s">
        <v>224</v>
      </c>
      <c r="R333" t="s">
        <v>283</v>
      </c>
      <c r="T333" s="2">
        <v>46074.840231481481</v>
      </c>
      <c r="U333" s="2">
        <v>46074.863113425927</v>
      </c>
      <c r="V333" s="3">
        <v>2.2881944444444444E-2</v>
      </c>
      <c r="W333" s="3"/>
      <c r="Y333" s="2"/>
      <c r="Z333" s="3">
        <v>2.2881944444444444E-2</v>
      </c>
      <c r="AI333" t="s">
        <v>44</v>
      </c>
    </row>
    <row r="334" spans="1:35">
      <c r="A334">
        <v>23044</v>
      </c>
      <c r="B334" t="s">
        <v>274</v>
      </c>
      <c r="K334" t="s">
        <v>86</v>
      </c>
      <c r="L334">
        <v>371</v>
      </c>
      <c r="M334">
        <v>0</v>
      </c>
      <c r="N334">
        <v>0</v>
      </c>
      <c r="O334">
        <v>0</v>
      </c>
      <c r="P334" t="s">
        <v>99</v>
      </c>
      <c r="Q334" t="s">
        <v>224</v>
      </c>
      <c r="R334" t="s">
        <v>283</v>
      </c>
      <c r="T334" s="2">
        <v>46074.736898148149</v>
      </c>
      <c r="U334" s="2">
        <v>46074.787106481483</v>
      </c>
      <c r="V334" s="3">
        <v>2.4351851851851857E-2</v>
      </c>
      <c r="W334" s="3"/>
      <c r="Y334" s="2"/>
      <c r="Z334" s="3">
        <v>2.4351851851851857E-2</v>
      </c>
      <c r="AI334" t="s">
        <v>44</v>
      </c>
    </row>
    <row r="335" spans="1:35">
      <c r="A335">
        <v>23149</v>
      </c>
      <c r="B335" t="s">
        <v>295</v>
      </c>
      <c r="K335" t="s">
        <v>70</v>
      </c>
      <c r="L335">
        <v>17099</v>
      </c>
      <c r="M335">
        <v>0</v>
      </c>
      <c r="N335">
        <v>0</v>
      </c>
      <c r="O335">
        <v>0</v>
      </c>
      <c r="P335" t="s">
        <v>99</v>
      </c>
      <c r="Q335" t="s">
        <v>224</v>
      </c>
      <c r="R335" t="s">
        <v>283</v>
      </c>
      <c r="T335" s="2">
        <v>46074.516446759262</v>
      </c>
      <c r="U335" s="2">
        <v>46074.571770833332</v>
      </c>
      <c r="V335" s="3">
        <v>5.5324074074074074E-2</v>
      </c>
      <c r="W335" s="3"/>
      <c r="Y335" s="2"/>
      <c r="Z335" s="3">
        <v>5.5324074074074074E-2</v>
      </c>
      <c r="AI335" t="s">
        <v>44</v>
      </c>
    </row>
    <row r="336" spans="1:35">
      <c r="A336">
        <v>23149</v>
      </c>
      <c r="B336" t="s">
        <v>295</v>
      </c>
      <c r="K336" t="s">
        <v>185</v>
      </c>
      <c r="L336">
        <v>100241</v>
      </c>
      <c r="M336">
        <v>0</v>
      </c>
      <c r="N336">
        <v>0</v>
      </c>
      <c r="O336">
        <v>0</v>
      </c>
      <c r="P336" t="s">
        <v>99</v>
      </c>
      <c r="Q336" t="s">
        <v>224</v>
      </c>
      <c r="R336" t="s">
        <v>283</v>
      </c>
      <c r="T336" s="2">
        <v>46074.449074074073</v>
      </c>
      <c r="U336" s="2">
        <v>46074.516365740739</v>
      </c>
      <c r="V336" s="3">
        <v>1.695601851851852E-2</v>
      </c>
      <c r="W336" s="3"/>
      <c r="Y336" s="2"/>
      <c r="Z336" s="3">
        <v>1.695601851851852E-2</v>
      </c>
      <c r="AI336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productivity_detailed_report_20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S</dc:creator>
  <cp:lastModifiedBy>3874</cp:lastModifiedBy>
  <dcterms:created xsi:type="dcterms:W3CDTF">2026-02-22T16:37:45Z</dcterms:created>
  <dcterms:modified xsi:type="dcterms:W3CDTF">2026-02-22T16:53:47Z</dcterms:modified>
</cp:coreProperties>
</file>